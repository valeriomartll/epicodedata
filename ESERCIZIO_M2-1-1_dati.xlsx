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762224\Downloads\"/>
    </mc:Choice>
  </mc:AlternateContent>
  <xr:revisionPtr revIDLastSave="0" documentId="13_ncr:1_{92C13D4F-C26B-43ED-B9F6-72C7355BC77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2" i="3"/>
  <c r="T6" i="3"/>
  <c r="T7" i="3"/>
  <c r="T8" i="3"/>
  <c r="T3" i="3"/>
  <c r="T4" i="3"/>
  <c r="T5" i="3"/>
  <c r="T2" i="3"/>
  <c r="P3" i="3"/>
  <c r="P4" i="3"/>
  <c r="P5" i="3"/>
  <c r="P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I4" i="3"/>
  <c r="I5" i="3"/>
  <c r="I6" i="3"/>
  <c r="I3" i="3"/>
  <c r="C3" i="2"/>
  <c r="C2" i="2"/>
  <c r="C8" i="2"/>
  <c r="C7" i="2"/>
  <c r="C6" i="2"/>
  <c r="C5" i="2"/>
  <c r="C4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<sst xmlns="http://schemas.openxmlformats.org/spreadsheetml/2006/main" count="875" uniqueCount="582">
  <si>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</si>
  <si>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</si>
  <si>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</si>
  <si>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</si>
  <si>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</si>
  <si>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</si>
  <si>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</si>
  <si>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</si>
  <si>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</si>
  <si>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</si>
  <si>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</si>
  <si>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</si>
  <si>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</si>
  <si>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</si>
  <si>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</si>
  <si>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</si>
  <si>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</si>
  <si>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</si>
  <si>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</si>
  <si>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</si>
  <si>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</si>
  <si>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</si>
  <si>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</si>
  <si>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</si>
  <si>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</si>
  <si>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</si>
  <si>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</si>
  <si>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</si>
  <si>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</si>
  <si>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</si>
  <si>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</si>
  <si>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</si>
  <si>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</si>
  <si>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</si>
  <si>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</si>
  <si>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</si>
  <si>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</si>
  <si>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</si>
  <si>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</si>
  <si>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</si>
  <si>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</si>
  <si>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</si>
  <si>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</si>
  <si>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</si>
  <si>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</si>
  <si>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</si>
  <si>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</si>
  <si>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</si>
  <si>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</si>
  <si>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</si>
  <si>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</si>
  <si>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</si>
  <si>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</si>
  <si>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</si>
  <si>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</si>
  <si>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</si>
  <si>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</si>
  <si>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</si>
  <si>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</si>
  <si>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</si>
  <si>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</si>
  <si>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</si>
  <si>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</si>
  <si>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</si>
  <si>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</si>
  <si>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</si>
  <si>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</si>
  <si>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</si>
  <si>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</si>
  <si>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</si>
  <si>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</si>
  <si>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</si>
  <si>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</si>
  <si>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</si>
  <si>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</si>
  <si>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</si>
  <si>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</si>
  <si>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</si>
  <si>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</si>
  <si>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</si>
  <si>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</si>
  <si>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</si>
  <si>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</si>
  <si>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</si>
  <si>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</si>
  <si>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</si>
  <si>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</si>
  <si>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</si>
  <si>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</si>
  <si>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</si>
  <si>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</si>
  <si>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</si>
  <si>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</si>
  <si>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</si>
  <si>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</si>
  <si>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</si>
  <si>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</si>
  <si>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</si>
  <si>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</si>
  <si>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</si>
  <si>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</si>
  <si>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</si>
  <si>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</si>
  <si>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</si>
  <si>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</si>
  <si>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</si>
  <si>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</si>
  <si>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</si>
  <si>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</si>
  <si>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</si>
  <si>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</si>
  <si>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</si>
  <si>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</si>
  <si>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</si>
  <si>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</si>
  <si>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</si>
  <si>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</si>
  <si>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</si>
  <si>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</si>
  <si>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</si>
  <si>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</si>
  <si>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</si>
  <si>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</si>
  <si>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</si>
  <si>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</si>
  <si>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</si>
  <si>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</si>
  <si>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</si>
  <si>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</si>
  <si>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</si>
  <si>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</si>
  <si>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</si>
  <si>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</si>
  <si>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</si>
  <si>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</si>
  <si>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</si>
  <si>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</si>
  <si>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</si>
  <si>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</si>
  <si>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</si>
  <si>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</si>
  <si>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</si>
  <si>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</si>
  <si>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</si>
  <si>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</si>
  <si>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</si>
  <si>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</si>
  <si>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</si>
  <si>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</si>
  <si>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</si>
  <si>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</si>
  <si>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</si>
  <si>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</si>
  <si>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</si>
  <si>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</si>
  <si>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</si>
  <si>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</si>
  <si>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</si>
  <si>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</si>
  <si>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</si>
  <si>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</si>
  <si>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</si>
  <si>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</si>
  <si>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</si>
  <si>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</si>
  <si>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</si>
  <si>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</si>
  <si>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</si>
  <si>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</si>
  <si>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</si>
  <si>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</si>
  <si>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</si>
  <si>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</si>
  <si>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</si>
  <si>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</si>
  <si>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</si>
  <si>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</si>
  <si>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</si>
  <si>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</si>
  <si>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</si>
  <si>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</si>
  <si>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</si>
  <si>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</si>
  <si>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</si>
  <si>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</si>
  <si>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</si>
  <si>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</si>
  <si>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</si>
  <si>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</si>
  <si>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</si>
  <si>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</si>
  <si>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</si>
  <si>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</si>
  <si>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</si>
  <si>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</si>
  <si>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</si>
  <si>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</si>
  <si>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</si>
  <si>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</si>
  <si>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</si>
  <si>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</si>
  <si>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</si>
  <si>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</si>
  <si>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</si>
  <si>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</si>
  <si>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</si>
  <si>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</si>
  <si>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</si>
  <si>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</si>
  <si>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</si>
  <si>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</si>
  <si>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</si>
  <si>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</si>
  <si>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</si>
  <si>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</si>
  <si>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</si>
  <si>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</si>
  <si>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</si>
  <si>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</si>
  <si>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</si>
  <si>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</si>
  <si>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</si>
  <si>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</si>
  <si>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</si>
  <si>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</si>
  <si>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</si>
  <si>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</si>
  <si>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</si>
  <si>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</si>
  <si>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</si>
  <si>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</si>
  <si>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</si>
  <si>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</si>
  <si>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</si>
  <si>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</si>
  <si>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</si>
  <si>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</si>
  <si>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</si>
  <si>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</si>
  <si>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</si>
  <si>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</si>
  <si>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</si>
  <si>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</si>
  <si>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</si>
  <si>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</si>
  <si>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</si>
  <si>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</si>
  <si>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</si>
  <si>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</si>
  <si>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</si>
  <si>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</si>
  <si>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</si>
  <si>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</si>
  <si>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</si>
  <si>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</si>
  <si>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</si>
  <si>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</si>
  <si>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</si>
  <si>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</si>
  <si>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</si>
  <si>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</si>
  <si>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</si>
  <si>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</si>
  <si>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</si>
  <si>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</si>
  <si>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</si>
  <si>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</si>
  <si>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</si>
  <si>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</si>
  <si>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</si>
  <si>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</si>
  <si>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</si>
  <si>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</si>
  <si>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</si>
  <si>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</si>
  <si>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</si>
  <si>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</si>
  <si>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</si>
  <si>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</si>
  <si>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</si>
  <si>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</si>
  <si>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</si>
  <si>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</si>
  <si>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</si>
  <si>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</si>
  <si>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</si>
  <si>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</si>
  <si>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</si>
  <si>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</si>
  <si>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</si>
  <si>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</si>
  <si>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</si>
  <si>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</si>
  <si>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</si>
  <si>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</si>
  <si>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</si>
  <si>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</si>
  <si>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</si>
  <si>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</si>
  <si>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</si>
  <si>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</si>
  <si>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</si>
  <si>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</si>
  <si>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</si>
  <si>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</si>
  <si>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</si>
  <si>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</si>
  <si>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</si>
  <si>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</si>
  <si>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</si>
  <si>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</si>
  <si>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</si>
  <si>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</si>
  <si>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</si>
  <si>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</si>
  <si>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</si>
  <si>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</si>
  <si>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</si>
  <si>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</si>
  <si>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</si>
  <si>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</si>
  <si>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</si>
  <si>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</si>
  <si>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</si>
  <si>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</si>
  <si>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</si>
  <si>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</si>
  <si>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</si>
  <si>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</si>
  <si>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</si>
  <si>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</si>
  <si>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</si>
  <si>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</si>
  <si>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</si>
  <si>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</si>
  <si>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</si>
  <si>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</si>
  <si>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</si>
  <si>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</si>
  <si>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</si>
  <si>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</si>
  <si>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</si>
  <si>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</si>
  <si>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</si>
  <si>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</si>
  <si>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</si>
  <si>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</si>
  <si>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</si>
  <si>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</si>
  <si>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</si>
  <si>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</si>
  <si>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</si>
  <si>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</si>
  <si>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</si>
  <si>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</si>
  <si>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</si>
  <si>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</si>
  <si>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</si>
  <si>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</si>
  <si>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</si>
  <si>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</si>
  <si>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</si>
  <si>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</si>
  <si>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</si>
  <si>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</si>
  <si>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</si>
  <si>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</si>
  <si>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</si>
  <si>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</si>
  <si>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</si>
  <si>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</si>
  <si>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</si>
  <si>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</si>
  <si>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</si>
  <si>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</si>
  <si>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</si>
  <si>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</si>
  <si>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</si>
  <si>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</si>
  <si>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</si>
  <si>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</si>
  <si>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</si>
  <si>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</si>
  <si>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</si>
  <si>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</si>
  <si>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</si>
  <si>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</si>
  <si>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</si>
  <si>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</si>
  <si>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</si>
  <si>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</si>
  <si>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</si>
  <si>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</si>
  <si>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</si>
  <si>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</si>
  <si>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</si>
  <si>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</si>
  <si>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</si>
  <si>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</si>
  <si>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</si>
  <si>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</si>
  <si>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</si>
  <si>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</si>
  <si>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</si>
  <si>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</si>
  <si>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</si>
  <si>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</si>
  <si>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</si>
  <si>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</si>
  <si>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</si>
  <si>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</si>
  <si>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</si>
  <si>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</si>
  <si>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</si>
  <si>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</si>
  <si>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</si>
  <si>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</si>
  <si>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</si>
  <si>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</si>
  <si>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</si>
  <si>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</si>
  <si>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</si>
  <si>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</si>
  <si>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</si>
  <si>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</si>
  <si>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</si>
  <si>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</si>
  <si>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</si>
  <si>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</si>
  <si>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</si>
  <si>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</si>
  <si>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</si>
  <si>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</si>
  <si>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</si>
  <si>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</si>
  <si>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</si>
  <si>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</si>
  <si>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</si>
  <si>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</si>
  <si>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</si>
  <si>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</si>
  <si>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</si>
  <si>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</si>
  <si>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</si>
  <si>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</si>
  <si>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</si>
  <si>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</si>
  <si>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</si>
  <si>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</si>
  <si>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</si>
  <si>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</si>
  <si>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</si>
  <si>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</si>
  <si>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</si>
  <si>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</si>
  <si>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</si>
  <si>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</si>
  <si>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</si>
  <si>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</si>
  <si>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</si>
  <si>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</si>
  <si>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</si>
  <si>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</si>
  <si>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</si>
  <si>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</si>
  <si>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</si>
  <si>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</si>
  <si>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</si>
  <si>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</si>
  <si>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</si>
  <si>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</si>
  <si>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</si>
  <si>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</si>
  <si>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</si>
  <si>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</si>
  <si>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</si>
  <si>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</si>
  <si>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</si>
  <si>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</si>
  <si>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</si>
  <si>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</si>
  <si>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</si>
  <si>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</si>
  <si>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</si>
  <si>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</si>
  <si>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</si>
  <si>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</si>
  <si>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</si>
  <si>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</si>
  <si>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</si>
  <si>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</si>
  <si>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</si>
  <si>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</si>
  <si>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</si>
  <si>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</si>
  <si>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</si>
  <si>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</si>
  <si>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</si>
  <si>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</si>
  <si>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</si>
  <si>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</si>
  <si>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</si>
  <si>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</si>
  <si>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</si>
  <si>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</si>
  <si>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</si>
  <si>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</si>
  <si>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</si>
  <si>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</si>
  <si>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</si>
  <si>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</si>
  <si>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</si>
  <si>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</si>
  <si>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</si>
  <si>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</si>
  <si>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</si>
  <si>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</si>
  <si>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</si>
  <si>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</si>
  <si>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</si>
  <si>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</si>
  <si>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</si>
  <si>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</si>
  <si>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</si>
  <si>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</si>
  <si>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</si>
  <si>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</si>
  <si>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</si>
  <si>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</si>
  <si>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</si>
  <si>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</si>
  <si>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</si>
  <si>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</si>
  <si>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</si>
  <si>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</si>
  <si>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</si>
  <si>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</si>
  <si>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</si>
  <si>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</si>
  <si>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</si>
  <si>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</si>
  <si>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</si>
  <si>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</si>
  <si>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</si>
  <si>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</si>
  <si>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</si>
  <si>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</si>
  <si>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</si>
  <si>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</si>
  <si>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</si>
  <si>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</si>
  <si>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</si>
  <si>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</si>
  <si>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</si>
  <si>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</si>
  <si>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</si>
  <si>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</si>
  <si>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</si>
  <si>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</si>
  <si>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</si>
  <si>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</si>
  <si>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</si>
  <si>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</si>
  <si>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</si>
  <si>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</si>
  <si>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</si>
  <si>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</si>
  <si>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</si>
  <si>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</si>
  <si>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</si>
  <si>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CONCATENATO</t>
  </si>
  <si>
    <t>Voto</t>
  </si>
  <si>
    <t>Giudizio</t>
  </si>
  <si>
    <t>respinto</t>
  </si>
  <si>
    <t>sufficiente</t>
  </si>
  <si>
    <t>discreto</t>
  </si>
  <si>
    <t>buono</t>
  </si>
  <si>
    <t>clienti</t>
  </si>
  <si>
    <t>numero fatture</t>
  </si>
  <si>
    <t>Fatturato</t>
  </si>
  <si>
    <t>Tipologia</t>
  </si>
  <si>
    <t>Clienti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</si>
</sst>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</numFmts>
  <fonts count="12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4" fontId="1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7" fontId="0" fillId="0" borderId="0" xfId="0" applyNumberFormat="1"/>
  </cellXfs>
  <cellStyles count="1">
    <cellStyle name="Normale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D1" workbookViewId="0">
      <pane ySplit="1" topLeftCell="A2" activePane="bottomLeft" state="frozen"/>
      <selection pane="bottomLeft" activeCell="F2" sqref="F2:F337"/>
    </sheetView>
  </sheetViews>
  <sheetFormatPr defaultColWidth="14.3984375" defaultRowHeight="15" customHeight="1" x14ac:dyDescent="0.3"/>
  <cols>
    <col min="1" max="1" width="41.296875" customWidth="1"/>
    <col min="2" max="2" width="54.3984375" customWidth="1"/>
    <col min="3" max="3" width="27.296875" customWidth="1"/>
    <col min="4" max="4" width="15.796875" bestFit="1" customWidth="1"/>
    <col min="5" max="6" width="97.09765625" bestFit="1" customWidth="1"/>
    <col min="7" max="7" width="7.09765625" customWidth="1"/>
    <col min="8" max="26" width="8.6992187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15" t="s">
        <v>569</v>
      </c>
      <c r="E1" s="1" t="s">
        <v>570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>
        <f>C2*0.16</f>
        <v>44960</v>
      </c>
      <c r="E2" s="4" t="str">
        <f>CONCATENATE(A2," ",B2)</f>
        <v>MON.SVGA 0,28 14" AOC 4VLR 1024 x 768, MPR II, N.I.,  Energy Star Digital</v>
      </c>
      <c r="F2" s="4" t="str">
        <f>A2&amp;" "&amp;B2</f>
        <v>MON.SVGA 0,28 14" AOC 4VLR 1024 x 768, MPR II, N.I.,  Energy Star Digital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C3*0.16</f>
        <v>51680</v>
      </c>
      <c r="E3" s="4" t="str">
        <f t="shared" ref="E3:E66" si="1">CONCATENATE(A3," ",B3)</f>
        <v>MON.SVGA 0,28 15" AOC 5VLR 1280 x 1024, MPR II, N.I., Energy Star Digital</v>
      </c>
      <c r="F3" s="4" t="str">
        <f t="shared" ref="F3:F66" si="2">A3&amp;" "&amp;B3</f>
        <v>MON.SVGA 0,28 15" AOC 5VLR 1280 x 1024, MPR II, N.I., Energy Star Digital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55040</v>
      </c>
      <c r="E4" s="4" t="str">
        <f t="shared" si="1"/>
        <v>MON.SVGA 0,28 15" AOC 5NLR OSD 1280 x 1024, MPR II, N.I., Energy Star Digital, 69KHz</v>
      </c>
      <c r="F4" s="4" t="str">
        <f t="shared" si="2"/>
        <v>MON.SVGA 0,28 15" AOC 5NLR OSD 1280 x 1024, MPR II, N.I., Energy Star Digital, 69KHz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57760</v>
      </c>
      <c r="E5" s="4" t="str">
        <f t="shared" si="1"/>
        <v>MON.SVGA 0,28 15" AOC 5GLR+ OSD 1280 x 1024, MPR II,TCO'92 N.I., Energy Star Digit 69KHz</v>
      </c>
      <c r="F5" s="4" t="str">
        <f t="shared" si="2"/>
        <v>MON.SVGA 0,28 15" AOC 5GLR+ OSD 1280 x 1024, MPR II,TCO'92 N.I., Energy Star Digit 69KHz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83360</v>
      </c>
      <c r="E6" s="4" t="str">
        <f t="shared" si="1"/>
        <v>MON. 15" 0.23 CM500ET HITACHI 1152x870, 75 Hz, MPR II,TCO'92, N.I.,Energy Star, P&amp;P</v>
      </c>
      <c r="F6" s="4" t="str">
        <f t="shared" si="2"/>
        <v>MON. 15" 0.23 CM500ET HITACHI 1152x870, 75 Hz, MPR II,TCO'92, N.I.,Energy Star, P&amp;P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84320</v>
      </c>
      <c r="E7" s="4" t="str">
        <f t="shared" si="1"/>
        <v>MON. 15" 0.28 A500 NEC 1280x1024, 60Hz, MPR II, Energy Star, P&amp;P</v>
      </c>
      <c r="F7" s="4" t="str">
        <f t="shared" si="2"/>
        <v>MON. 15" 0.28 A500 NEC 1280x1024, 60Hz, MPR II, Energy Star, P&amp;P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100160</v>
      </c>
      <c r="E8" s="4" t="str">
        <f t="shared" si="1"/>
        <v>MON.SVGA 0,28 17" AOC 7VLR 1280 x 1024, MPR II, N.I., Energy Star Digital  70KHz</v>
      </c>
      <c r="F8" s="4" t="str">
        <f t="shared" si="2"/>
        <v>MON.SVGA 0,28 17" AOC 7VLR 1280 x 1024, MPR II, N.I., Energy Star Digital  70KHz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104960</v>
      </c>
      <c r="E9" s="4" t="str">
        <f t="shared" si="1"/>
        <v>MON. 15" 0.25 E500 NEC, Croma Clear 1280x1024, 65Hz,TCO'95, MPR II, Energy Star, P&amp;P</v>
      </c>
      <c r="F9" s="4" t="str">
        <f t="shared" si="2"/>
        <v>MON. 15" 0.25 E500 NEC, Croma Clear 1280x1024, 65Hz,TCO'95, MPR II, Energy Star, P&amp;P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106560</v>
      </c>
      <c r="E10" s="4" t="str">
        <f t="shared" si="1"/>
        <v>MON.SVGA 0,26 17" AOC 7GLR OSD 1280 x 1024,TCO '92, Energy Star Digital, 85KHz</v>
      </c>
      <c r="F10" s="4" t="str">
        <f t="shared" si="2"/>
        <v>MON.SVGA 0,26 17" AOC 7GLR OSD 1280 x 1024,TCO '92, Energy Star Digital, 85KHz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141120</v>
      </c>
      <c r="E11" s="4" t="str">
        <f t="shared" si="1"/>
        <v>MON. 17" 0.28 A700 NEC 1280x1024, 65Hz, MPR II, Energy Star, P&amp;P</v>
      </c>
      <c r="F11" s="4" t="str">
        <f t="shared" si="2"/>
        <v>MON. 17" 0.28 A700 NEC 1280x1024, 65Hz, MPR II, Energy Star, P&amp;P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177280</v>
      </c>
      <c r="E12" s="4" t="str">
        <f t="shared" si="1"/>
        <v xml:space="preserve">MON. 17" 0.21 CM630ET HITACHI 1280x1024,80 Hz,TCO '95 N.I.,Energy Star, P&amp;P </v>
      </c>
      <c r="F12" s="4" t="str">
        <f t="shared" si="2"/>
        <v xml:space="preserve">MON. 17" 0.21 CM630ET HITACHI 1280x1024,80 Hz,TCO '95 N.I.,Energy Star, P&amp;P 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210560</v>
      </c>
      <c r="E13" s="4" t="str">
        <f t="shared" si="1"/>
        <v>MON. 17" 0.25 P750 NEC, Croma Clear 1600x1280, 75Hz, TCO'92, MPR II, Energy Star, P&amp;P</v>
      </c>
      <c r="F13" s="4" t="str">
        <f t="shared" si="2"/>
        <v>MON. 17" 0.25 P750 NEC, Croma Clear 1600x1280, 75Hz, TCO'92, MPR II, Energy Star, P&amp;P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255040</v>
      </c>
      <c r="E14" s="4" t="str">
        <f t="shared" si="1"/>
        <v xml:space="preserve">MON. 19" 0.22 CM751ET HITACHI 1600x1200,75 Hz,TCO '95 N.I.,Energy Star, P&amp;P </v>
      </c>
      <c r="F14" s="4" t="str">
        <f t="shared" si="2"/>
        <v xml:space="preserve">MON. 19" 0.22 CM751ET HITACHI 1600x1200,75 Hz,TCO '95 N.I.,Energy Star, P&amp;P 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435040</v>
      </c>
      <c r="E15" s="4" t="str">
        <f t="shared" si="1"/>
        <v xml:space="preserve">MON. 21" 0.21 CM802ETM HITACHI 1600x1280,75 Hz,TCO '95 N.I.,Energy Star, P&amp;P </v>
      </c>
      <c r="F15" s="4" t="str">
        <f t="shared" si="2"/>
        <v xml:space="preserve">MON. 21" 0.21 CM802ETM HITACHI 1600x1280,75 Hz,TCO '95 N.I.,Energy Star, P&amp;P 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 t="str">
        <f t="shared" si="2"/>
        <v xml:space="preserve">MONITOR  LCD 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654720</v>
      </c>
      <c r="E17" s="4" t="str">
        <f t="shared" si="1"/>
        <v>MON. 14" LCD 0.28 LCD400V NEC 1024x768 75Hz, TFT, Energy Star, P&amp;P</v>
      </c>
      <c r="F17" s="4" t="str">
        <f t="shared" si="2"/>
        <v>MON. 14" LCD 0.28 LCD400V NEC 1024x768 75Hz, TFT, Energy Star, P&amp;P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2217440</v>
      </c>
      <c r="E18" s="4" t="str">
        <f t="shared" si="1"/>
        <v>MON. 20" LCD 0.31 LCD2000sf NEC 1280X1024 75Hz, TFT, Energy Star, P&amp;P</v>
      </c>
      <c r="F18" s="4" t="str">
        <f t="shared" si="2"/>
        <v>MON. 20" LCD 0.31 LCD2000sf NEC 1280X1024 75Hz, TFT, Energy Star, P&amp;P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 t="str">
        <f t="shared" si="2"/>
        <v xml:space="preserve">SCHEDE MADRI 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26720</v>
      </c>
      <c r="E20" s="4" t="str">
        <f t="shared" si="1"/>
        <v>M/B ASUS SP97-V SVGA SHARE MEMORY PCI/ISA/Media Bus. SIS 5598 Share Memory, 4XPCI, 3XISA</v>
      </c>
      <c r="F20" s="4" t="str">
        <f t="shared" si="2"/>
        <v>M/B ASUS SP97-V SVGA SHARE MEMORY PCI/ISA/Media Bus. SIS 5598 Share Memory, 4XPCI, 3XISA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32320</v>
      </c>
      <c r="E21" s="4" t="str">
        <f t="shared" si="1"/>
        <v>M/B ASUS TXP4 PCI/ISA/Media Bus.TX/ 2 x 168 Pin DIMM, 4 x 72 Pin</v>
      </c>
      <c r="F21" s="4" t="str">
        <f t="shared" si="2"/>
        <v>M/B ASUS TXP4 PCI/ISA/Media Bus.TX/ 2 x 168 Pin DIMM, 4 x 72 Pin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32480</v>
      </c>
      <c r="E22" s="4" t="str">
        <f t="shared" si="1"/>
        <v>M/B ASUS SP98AGP-X ATX PCI/ISA/Media Bus. SIS 5591 Share Memory, 3XPCI, 3XISA</v>
      </c>
      <c r="F22" s="4" t="str">
        <f t="shared" si="2"/>
        <v>M/B ASUS SP98AGP-X ATX PCI/ISA/Media Bus. SIS 5591 Share Memory, 3XPCI, 3XISA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37440</v>
      </c>
      <c r="E23" s="4" t="str">
        <f t="shared" si="1"/>
        <v>M/B ASUS TX-97 - E  PCI/ISA/Media Bus.TX/ 2 x 168 Pin DIMM, 4 x 72 Pin</v>
      </c>
      <c r="F23" s="4" t="str">
        <f t="shared" si="2"/>
        <v>M/B ASUS TX-97 - E  PCI/ISA/Media Bus.TX/ 2 x 168 Pin DIMM, 4 x 72 Pin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40320</v>
      </c>
      <c r="E24" s="4" t="str">
        <f t="shared" si="1"/>
        <v>M/B ASUS TX-97  PCI/ISA/Media Bus.TX/ 3 x 168 Pin DIMM</v>
      </c>
      <c r="F24" s="4" t="str">
        <f t="shared" si="2"/>
        <v>M/B ASUS TX-97  PCI/ISA/Media Bus.TX/ 3 x 168 Pin DIMM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41440</v>
      </c>
      <c r="E25" s="4" t="str">
        <f t="shared" si="1"/>
        <v>M/B ASUS TX-97 - XE ATX NO AUDIO PCI/ISA/Media Bus.TX/ 2 x 168 Pin DIMM, 4 x 72 Pin</v>
      </c>
      <c r="F25" s="4" t="str">
        <f t="shared" si="2"/>
        <v>M/B ASUS TX-97 - XE ATX NO AUDIO PCI/ISA/Media Bus.TX/ 2 x 168 Pin DIMM, 4 x 72 Pin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43040</v>
      </c>
      <c r="E26" s="4" t="str">
        <f t="shared" si="1"/>
        <v>M/B ASUS P2L97-B PCI/ISA/Intel 440LX/233-333 Mhz AT BABY</v>
      </c>
      <c r="F26" s="4" t="str">
        <f t="shared" si="2"/>
        <v>M/B ASUS P2L97-B PCI/ISA/Intel 440LX/233-333 Mhz AT BABY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43360</v>
      </c>
      <c r="E27" s="4" t="str">
        <f t="shared" si="1"/>
        <v>M/B ASUS  P55T2P4 430HX 512K P5 PCI/ISA/Media Bus.Triton II/ZIF7/75-200 MHz</v>
      </c>
      <c r="F27" s="4" t="str">
        <f t="shared" si="2"/>
        <v>M/B ASUS  P55T2P4 430HX 512K P5 PCI/ISA/Media Bus.Triton II/ZIF7/75-200 MHz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46720</v>
      </c>
      <c r="E28" s="4" t="str">
        <f t="shared" si="1"/>
        <v>M/B ASUS P2L97 ATX PCI/ISA/Intel 440LX/233-333 Mhz</v>
      </c>
      <c r="F28" s="4" t="str">
        <f t="shared" si="2"/>
        <v>M/B ASUS P2L97 ATX PCI/ISA/Intel 440LX/233-333 Mhz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46880</v>
      </c>
      <c r="E29" s="4" t="str">
        <f t="shared" si="1"/>
        <v>M/B ASUS XP55T2P4 512K ATX P5 PCI/ISA/Media Bus.Triton II/ZIF7/ 75-200 MHz</v>
      </c>
      <c r="F29" s="4" t="str">
        <f t="shared" si="2"/>
        <v>M/B ASUS XP55T2P4 512K ATX P5 PCI/ISA/Media Bus.Triton II/ZIF7/ 75-200 MHz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49120</v>
      </c>
      <c r="E30" s="4" t="str">
        <f t="shared" si="1"/>
        <v>M/B ASUS TX-97 -XE ATX -CREATIVE VIBRA16 PCI/ISA/Media Bus.TX/ 2 x 168 Pin DIMM, 4 x 72 Pin</v>
      </c>
      <c r="F30" s="4" t="str">
        <f t="shared" si="2"/>
        <v>M/B ASUS TX-97 -XE ATX -CREATIVE VIBRA16 PCI/ISA/Media Bus.TX/ 2 x 168 Pin DIMM, 4 x 72 Pin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70400</v>
      </c>
      <c r="E31" s="4" t="str">
        <f t="shared" si="1"/>
        <v>M/B ASUS P2L97-A ATX+VGA AGP 4MB PCI/ISA/Intel 440LX/233-333 Mhz ATI 3D Rage Pro AGP</v>
      </c>
      <c r="F31" s="4" t="str">
        <f t="shared" si="2"/>
        <v>M/B ASUS P2L97-A ATX+VGA AGP 4MB PCI/ISA/Intel 440LX/233-333 Mhz ATI 3D Rage Pro AGP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77920</v>
      </c>
      <c r="E32" s="4" t="str">
        <f t="shared" si="1"/>
        <v>M/B ASUS P2L97-S ADAPTEC ATX PCI/ISA/Intel 440LX/233-333 Mhz/Adaptec 7880</v>
      </c>
      <c r="F32" s="4" t="str">
        <f t="shared" si="2"/>
        <v>M/B ASUS P2L97-S ADAPTEC ATX PCI/ISA/Intel 440LX/233-333 Mhz/Adaptec 7880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90560</v>
      </c>
      <c r="E33" s="4" t="str">
        <f t="shared" si="1"/>
        <v>M/B ASUS P65UP5+P55T2D 512K DUAL P5 PCI/ISA/Media Bus/Intel 430HX/75-200 Mhz</v>
      </c>
      <c r="F33" s="4" t="str">
        <f t="shared" si="2"/>
        <v>M/B ASUS P65UP5+P55T2D 512K DUAL P5 PCI/ISA/Media Bus/Intel 430HX/75-200 Mhz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128320</v>
      </c>
      <c r="E34" s="4" t="str">
        <f t="shared" si="1"/>
        <v>M/B ASUS P2L97-DS DUAL P II PCI/ISA/Intel 440LX/233-333 Mhz/Adaptec 7880</v>
      </c>
      <c r="F34" s="4" t="str">
        <f t="shared" si="2"/>
        <v>M/B ASUS P2L97-DS DUAL P II PCI/ISA/Intel 440LX/233-333 Mhz/Adaptec 7880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252640</v>
      </c>
      <c r="E35" s="4" t="str">
        <f t="shared" si="1"/>
        <v>M/B ASUS P65UP8+PKND DUAL PII Intel 440FX CPU INTEL RISC i960, SCSI I20 RAID, EXP 1GB</v>
      </c>
      <c r="F35" s="4" t="str">
        <f t="shared" si="2"/>
        <v>M/B ASUS P65UP8+PKND DUAL PII Intel 440FX CPU INTEL RISC i960, SCSI I20 RAID, EXP 1GB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 t="str">
        <f t="shared" si="2"/>
        <v xml:space="preserve">SCHEDE VIDEO 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11200</v>
      </c>
      <c r="E37" s="4" t="str">
        <f t="shared" si="1"/>
        <v>SVGA S3 3D PRO VIRGE 2MB S3 PRO VIRGE DX 2MB Edo exp. 4MB 3D Acc.</v>
      </c>
      <c r="F37" s="4" t="str">
        <f t="shared" si="2"/>
        <v>SVGA S3 3D PRO VIRGE 2MB S3 PRO VIRGE DX 2MB Edo exp. 4MB 3D Acc.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16640</v>
      </c>
      <c r="E38" s="4" t="str">
        <f t="shared" si="1"/>
        <v>CREATIVE ECLIPSE 4MB ACC. 2D/3D 4MB LAGUNA 3D max 1600x1200</v>
      </c>
      <c r="F38" s="4" t="str">
        <f t="shared" si="2"/>
        <v>CREATIVE ECLIPSE 4MB ACC. 2D/3D 4MB LAGUNA 3D max 1600x1200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20320</v>
      </c>
      <c r="E39" s="4" t="str">
        <f t="shared" si="1"/>
        <v>ADD-ON MATROX m3D 4MB MATROX - NEC Power VR PCX2</v>
      </c>
      <c r="F39" s="4" t="str">
        <f t="shared" si="2"/>
        <v>ADD-ON MATROX m3D 4MB MATROX - NEC Power VR PCX2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25920</v>
      </c>
      <c r="E40" s="4" t="str">
        <f t="shared" si="1"/>
        <v>ASUS 3DP-V264GT2 4MB TV-OUT ATI Rage II+ , 2D/3D, DVD Acc.,TV OUT</v>
      </c>
      <c r="F40" s="4" t="str">
        <f t="shared" si="2"/>
        <v>ASUS 3DP-V264GT2 4MB TV-OUT ATI Rage II+ , 2D/3D, DVD Acc.,TV OUT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28640</v>
      </c>
      <c r="E41" s="4" t="str">
        <f t="shared" si="1"/>
        <v>SVGA MYSTIQUE 220 "BULK" 4MB MATROX,MGA 1064SG SGRAM</v>
      </c>
      <c r="F41" s="4" t="str">
        <f t="shared" si="2"/>
        <v>SVGA MYSTIQUE 220 "BULK" 4MB MATROX,MGA 1064SG SGRAM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29760</v>
      </c>
      <c r="E42" s="4" t="str">
        <f t="shared" si="1"/>
        <v>ASUS 3DP-V385GX2 4MB TV-OUT  S3 VIRGE/GX2,2D/3D DVD Acc. VIDEO-IN&amp;TV OUT</v>
      </c>
      <c r="F42" s="4" t="str">
        <f t="shared" si="2"/>
        <v>ASUS 3DP-V385GX2 4MB TV-OUT  S3 VIRGE/GX2,2D/3D DVD Acc. VIDEO-IN&amp;TV OUT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29760</v>
      </c>
      <c r="E43" s="4" t="str">
        <f t="shared" si="1"/>
        <v>ASUS V385GX2 AGP 4MB TV-OUT S3 VIRGE/GX2,2D/3D DVD Acc. VIDEO-IN&amp;TV OUT</v>
      </c>
      <c r="F43" s="4" t="str">
        <f t="shared" si="2"/>
        <v>ASUS V385GX2 AGP 4MB TV-OUT S3 VIRGE/GX2,2D/3D DVD Acc. VIDEO-IN&amp;TV OUT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32480</v>
      </c>
      <c r="E44" s="4" t="str">
        <f t="shared" si="1"/>
        <v>CREATIVE GRAPHIC EXXTREME 4MB ACC. 2D/3D 4MB SGRAM T.I.9735AC</v>
      </c>
      <c r="F44" s="4" t="str">
        <f t="shared" si="2"/>
        <v>CREATIVE GRAPHIC EXXTREME 4MB ACC. 2D/3D 4MB SGRAM T.I.9735AC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33920</v>
      </c>
      <c r="E45" s="4" t="str">
        <f t="shared" si="1"/>
        <v>SVGA MYSTIQUE 220  4MB MATROX,MGA 1064SG SGRAM</v>
      </c>
      <c r="F45" s="4" t="str">
        <f t="shared" si="2"/>
        <v>SVGA MYSTIQUE 220  4MB MATROX,MGA 1064SG SGRAM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35520</v>
      </c>
      <c r="E46" s="4" t="str">
        <f t="shared" si="1"/>
        <v>SVGA ACC. 3D/FX VOODO RUSH 4MB ACC.2D/3D 3D/FX Voodo Rush+AT25 Game+Giochi</v>
      </c>
      <c r="F46" s="4" t="str">
        <f t="shared" si="2"/>
        <v>SVGA ACC. 3D/FX VOODO RUSH 4MB ACC.2D/3D 3D/FX Voodo Rush+AT25 Game+Giochi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39200</v>
      </c>
      <c r="E47" s="4" t="str">
        <f t="shared" si="1"/>
        <v>SVGA ACC. 3D/FX VOODO RUSH 6MB ACC.2D/3D 3D/FX Voodoo Rush+AT25 Game+Giochi</v>
      </c>
      <c r="F47" s="4" t="str">
        <f t="shared" si="2"/>
        <v>SVGA ACC. 3D/FX VOODO RUSH 6MB ACC.2D/3D 3D/FX Voodoo Rush+AT25 Game+Giochi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40160</v>
      </c>
      <c r="E48" s="4" t="str">
        <f t="shared" si="1"/>
        <v>RAINBOW R. TV MATROX</v>
      </c>
      <c r="F48" s="4" t="str">
        <f t="shared" si="2"/>
        <v>RAINBOW R. TV MATROX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41120</v>
      </c>
      <c r="E49" s="4" t="str">
        <f t="shared" si="1"/>
        <v>ASUS 3D EXPLORER AGP 4MB TV-OUT ASUS, 2D/3D, 4MB SGRAM SGS T. RIVA128</v>
      </c>
      <c r="F49" s="4" t="str">
        <f t="shared" si="2"/>
        <v>ASUS 3D EXPLORER AGP 4MB TV-OUT ASUS, 2D/3D, 4MB SGRAM SGS T. RIVA128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43040</v>
      </c>
      <c r="E50" s="4" t="str">
        <f t="shared" si="1"/>
        <v>ASUS 3D EXPLORER PCI 4MB TV-OUT ASUS, 2D/3D, 4MB SGRAM SGS T. RIVA128</v>
      </c>
      <c r="F50" s="4" t="str">
        <f t="shared" si="2"/>
        <v>ASUS 3D EXPLORER PCI 4MB TV-OUT ASUS, 2D/3D, 4MB SGRAM SGS T. RIVA128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50240</v>
      </c>
      <c r="E51" s="4" t="str">
        <f t="shared" si="1"/>
        <v xml:space="preserve">SVGA MILLENNIUM II 4MB "BULK" MATROX,MGA MILLENNIUM II WRAM </v>
      </c>
      <c r="F51" s="4" t="str">
        <f t="shared" si="2"/>
        <v xml:space="preserve">SVGA MILLENNIUM II 4MB "BULK" MATROX,MGA MILLENNIUM II WRAM 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52000</v>
      </c>
      <c r="E52" s="4" t="str">
        <f t="shared" si="1"/>
        <v>SVGA MILLENNIUM II 4MB AGP MATROX,MGA MILLENNIUM II WRAM  AGP</v>
      </c>
      <c r="F52" s="4" t="str">
        <f t="shared" si="2"/>
        <v>SVGA MILLENNIUM II 4MB AGP MATROX,MGA MILLENNIUM II WRAM  AGP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55520</v>
      </c>
      <c r="E53" s="4" t="str">
        <f t="shared" si="1"/>
        <v>RAINBOW R. STUDIO per MATROX MYSTIQUE</v>
      </c>
      <c r="F53" s="4" t="str">
        <f t="shared" si="2"/>
        <v>RAINBOW R. STUDIO per MATROX MYSTIQUE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59040</v>
      </c>
      <c r="E54" s="4" t="str">
        <f t="shared" si="1"/>
        <v xml:space="preserve">SVGA MILLENNIUM II 4MB MATROX,MGA MILLENNIUM II WRAM </v>
      </c>
      <c r="F54" s="4" t="str">
        <f t="shared" si="2"/>
        <v xml:space="preserve">SVGA MILLENNIUM II 4MB MATROX,MGA MILLENNIUM II WRAM 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64320</v>
      </c>
      <c r="E55" s="4" t="str">
        <f t="shared" si="1"/>
        <v>CREATIVE VOODO-2 8MB Add-on ACC.3D Voodo 3Dfx + Pixelfx PQFP 256pin+Texelfx PQFP208pin</v>
      </c>
      <c r="F55" s="4" t="str">
        <f t="shared" si="2"/>
        <v>CREATIVE VOODO-2 8MB Add-on ACC.3D Voodo 3Dfx + Pixelfx PQFP 256pin+Texelfx PQFP208pin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75360</v>
      </c>
      <c r="E56" s="4" t="str">
        <f t="shared" si="1"/>
        <v xml:space="preserve">SVGA MILLENNIUM II 8MB "BULK" MATROX,MGA MILLENNIUM II WRAM </v>
      </c>
      <c r="F56" s="4" t="str">
        <f t="shared" si="2"/>
        <v xml:space="preserve">SVGA MILLENNIUM II 8MB "BULK" MATROX,MGA MILLENNIUM II WRAM 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76160</v>
      </c>
      <c r="E57" s="4" t="str">
        <f t="shared" si="1"/>
        <v>SVGA MILLENNIUM II 8MB AGP MATROX,MGA MILLENNIUM II WRAM  AGP</v>
      </c>
      <c r="F57" s="4" t="str">
        <f t="shared" si="2"/>
        <v>SVGA MILLENNIUM II 8MB AGP MATROX,MGA MILLENNIUM II WRAM  AGP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78720</v>
      </c>
      <c r="E58" s="4" t="str">
        <f t="shared" si="1"/>
        <v>CREATIVE VOODO-2 12MB Add-on ACC.3D Voodo 3Dfx + Pixelfx PQFP 256pin+Texelfx PQFP208pin</v>
      </c>
      <c r="F58" s="4" t="str">
        <f t="shared" si="2"/>
        <v>CREATIVE VOODO-2 12MB Add-on ACC.3D Voodo 3Dfx + Pixelfx PQFP 256pin+Texelfx PQFP208pin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84960</v>
      </c>
      <c r="E59" s="4" t="str">
        <f t="shared" si="1"/>
        <v>VIDEO &amp; GRAPHIC KIT MATROX MISTIQUE 4MB+ RAINBOW RUNNER</v>
      </c>
      <c r="F59" s="4" t="str">
        <f t="shared" si="2"/>
        <v>VIDEO &amp; GRAPHIC KIT MATROX MISTIQUE 4MB+ RAINBOW RUNNER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88320</v>
      </c>
      <c r="E60" s="4" t="str">
        <f t="shared" si="1"/>
        <v xml:space="preserve">SVGA MILLENNIUM II 8MB MATROX,MGA MILLENNIUM II WRAM </v>
      </c>
      <c r="F60" s="4" t="str">
        <f t="shared" si="2"/>
        <v xml:space="preserve">SVGA MILLENNIUM II 8MB MATROX,MGA MILLENNIUM II WRAM 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237920</v>
      </c>
      <c r="E61" s="4" t="str">
        <f t="shared" si="1"/>
        <v>ASUS 3DP- V500TX 16MB Work.Prof.3d 3D LABS GLINT500TX,8MB VRAM Frame Buffer,8MB DRAM</v>
      </c>
      <c r="F61" s="4" t="str">
        <f t="shared" si="2"/>
        <v>ASUS 3DP- V500TX 16MB Work.Prof.3d 3D LABS GLINT500TX,8MB VRAM Frame Buffer,8MB DRAM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 t="str">
        <f t="shared" si="2"/>
        <v xml:space="preserve">SCHEDE I/O 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16160</v>
      </c>
      <c r="E63" s="4" t="str">
        <f t="shared" si="1"/>
        <v>Contr. PCI SCSI Fast SCSI-2</v>
      </c>
      <c r="F63" s="4" t="str">
        <f t="shared" si="2"/>
        <v>Contr. PCI SCSI Fast SCSI-2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6080</v>
      </c>
      <c r="E64" s="4" t="str">
        <f t="shared" si="1"/>
        <v>Contr. PCI EIDE Tekram 690B, 4 canali EIDE</v>
      </c>
      <c r="F64" s="4" t="str">
        <f t="shared" si="2"/>
        <v>Contr. PCI EIDE Tekram 690B, 4 canali EIDE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21920</v>
      </c>
      <c r="E65" s="4" t="str">
        <f t="shared" si="1"/>
        <v>Contr. PCI SC200 SCSI-2 ASUS NCR-53C810 Ultra Fast, SCSI-2</v>
      </c>
      <c r="F65" s="4" t="str">
        <f t="shared" si="2"/>
        <v>Contr. PCI SC200 SCSI-2 ASUS NCR-53C810 Ultra Fast, SCSI-2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35520</v>
      </c>
      <c r="E66" s="4" t="str">
        <f t="shared" si="1"/>
        <v>Contr. PCI SC875 Wide SCSI, SCSI-2 ASUS NCR-53C875 Ultra Fast, Wide SCSI e SCSI-2</v>
      </c>
      <c r="F66" s="4" t="str">
        <f t="shared" si="2"/>
        <v>Contr. PCI SC875 Wide SCSI, SCSI-2 ASUS NCR-53C875 Ultra Fast, Wide SCSI e SCSI-2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3">C67*0.16</f>
        <v>80160</v>
      </c>
      <c r="E67" s="4" t="str">
        <f t="shared" ref="E67:E130" si="4">CONCATENATE(A67," ",B67)</f>
        <v>Contr. PCI AHA 2940AU SCSI-2 Adaptec 2940 Ultra Fast, SCSI-2, sw EZ SCSI 4.0</v>
      </c>
      <c r="F67" s="4" t="str">
        <f t="shared" ref="F67:F130" si="5">A67&amp;" "&amp;B67</f>
        <v>Contr. PCI AHA 2940AU SCSI-2 Adaptec 2940 Ultra Fast, SCSI-2, sw EZ SCSI 4.0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3"/>
        <v>68480</v>
      </c>
      <c r="E68" s="4" t="str">
        <f t="shared" si="4"/>
        <v>Contr. PCI AHA 2940UW Wide SCSI OEM Adaptec 2940 Ultra Fast, Wide SCSI e SCSI-2</v>
      </c>
      <c r="F68" s="4" t="str">
        <f t="shared" si="5"/>
        <v>Contr. PCI AHA 2940UW Wide SCSI OEM Adaptec 2940 Ultra Fast, Wide SCSI e SCSI-2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3"/>
        <v>89760</v>
      </c>
      <c r="E69" s="4" t="str">
        <f t="shared" si="4"/>
        <v>Contr. PCI AHA 2940UW Wide SCSI Adaptec 2940 Ultra Fast, Wide SCSI e SCSI-2, sw EZ SCSI</v>
      </c>
      <c r="F69" s="4" t="str">
        <f t="shared" si="5"/>
        <v>Contr. PCI AHA 2940UW Wide SCSI Adaptec 2940 Ultra Fast, Wide SCSI e SCSI-2, sw EZ SCSI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3"/>
        <v>252480</v>
      </c>
      <c r="E70" s="4" t="str">
        <f t="shared" si="4"/>
        <v>Contr.PCI DA2100 Dual Wide SCSI ASUS Infotrend-500127 dual Ultra Fast, Wide SCSI, RAID</v>
      </c>
      <c r="F70" s="4" t="str">
        <f t="shared" si="5"/>
        <v>Contr.PCI DA2100 Dual Wide SCSI ASUS Infotrend-500127 dual Ultra Fast, Wide SCSI, RAID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3"/>
        <v>5440</v>
      </c>
      <c r="E71" s="4" t="str">
        <f t="shared" si="4"/>
        <v>Scheda 2 porte seriali, 1 porta parallela 16550 Fast UART</v>
      </c>
      <c r="F71" s="4" t="str">
        <f t="shared" si="5"/>
        <v>Scheda 2 porte seriali, 1 porta parallela 16550 Fast UART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3"/>
        <v>3200</v>
      </c>
      <c r="E72" s="4" t="str">
        <f t="shared" si="4"/>
        <v xml:space="preserve">Scheda singola seriale  </v>
      </c>
      <c r="F72" s="4" t="str">
        <f t="shared" si="5"/>
        <v xml:space="preserve">Scheda singola seriale  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3"/>
        <v>3680</v>
      </c>
      <c r="E73" s="4" t="str">
        <f t="shared" si="4"/>
        <v xml:space="preserve">Scheda doppia seriale  </v>
      </c>
      <c r="F73" s="4" t="str">
        <f t="shared" si="5"/>
        <v xml:space="preserve">Scheda doppia seriale  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3"/>
        <v>15680</v>
      </c>
      <c r="E74" s="4" t="str">
        <f t="shared" si="4"/>
        <v xml:space="preserve">Scheda 4 porte seriali </v>
      </c>
      <c r="F74" s="4" t="str">
        <f t="shared" si="5"/>
        <v xml:space="preserve">Scheda 4 porte seriali 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3"/>
        <v>40160</v>
      </c>
      <c r="E75" s="4" t="str">
        <f t="shared" si="4"/>
        <v xml:space="preserve">Scheda 8 porte seriali </v>
      </c>
      <c r="F75" s="4" t="str">
        <f t="shared" si="5"/>
        <v xml:space="preserve">Scheda 8 porte seriali 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3"/>
        <v>2400</v>
      </c>
      <c r="E76" s="4" t="str">
        <f t="shared" si="4"/>
        <v xml:space="preserve">Scheda singola parallela </v>
      </c>
      <c r="F76" s="4" t="str">
        <f t="shared" si="5"/>
        <v xml:space="preserve">Scheda singola parallela 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3"/>
        <v>2240</v>
      </c>
      <c r="E77" s="4" t="str">
        <f t="shared" si="4"/>
        <v xml:space="preserve">Scheda 2 porte joystick </v>
      </c>
      <c r="F77" s="4" t="str">
        <f t="shared" si="5"/>
        <v xml:space="preserve">Scheda 2 porte joystick 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>
        <f t="shared" si="3"/>
        <v>0</v>
      </c>
      <c r="E78" s="4" t="str">
        <f t="shared" si="4"/>
        <v xml:space="preserve">HARD DISK </v>
      </c>
      <c r="F78" s="4" t="str">
        <f t="shared" si="5"/>
        <v xml:space="preserve">HARD DISK 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3"/>
        <v>63840</v>
      </c>
      <c r="E79" s="4" t="str">
        <f t="shared" si="4"/>
        <v>HARD DISK 2.5"  2,1GB U.Dma 2,5" 12mm HITACHI - DK226A-21</v>
      </c>
      <c r="F79" s="4" t="str">
        <f t="shared" si="5"/>
        <v>HARD DISK 2.5"  2,1GB U.Dma 2,5" 12mm HITACHI - DK226A-21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3"/>
        <v>41440</v>
      </c>
      <c r="E80" s="4" t="str">
        <f t="shared" si="4"/>
        <v xml:space="preserve">HD 2,1 GB Ultra DMA 5400rpm 3,5" ULTRA DMA FUJITSU </v>
      </c>
      <c r="F80" s="4" t="str">
        <f t="shared" si="5"/>
        <v xml:space="preserve">HD 2,1 GB Ultra DMA 5400rpm 3,5" ULTRA DMA FUJITSU 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3"/>
        <v>51840</v>
      </c>
      <c r="E81" s="4" t="str">
        <f t="shared" si="4"/>
        <v xml:space="preserve">HD 3,2 GB Ultra DMA 5400rpm 3,5" ULTRA DMA FUJITSU </v>
      </c>
      <c r="F81" s="4" t="str">
        <f t="shared" si="5"/>
        <v xml:space="preserve">HD 3,2 GB Ultra DMA 5400rpm 3,5" ULTRA DMA FUJITSU 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3"/>
        <v>60480</v>
      </c>
      <c r="E82" s="4" t="str">
        <f t="shared" si="4"/>
        <v xml:space="preserve">HD 4,3 GB Ultra DMA 5400rpm 3,5" ULTRA DMA FUJITSU </v>
      </c>
      <c r="F82" s="4" t="str">
        <f t="shared" si="5"/>
        <v xml:space="preserve">HD 4,3 GB Ultra DMA 5400rpm 3,5" ULTRA DMA FUJITSU 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3"/>
        <v>75040</v>
      </c>
      <c r="E83" s="4" t="str">
        <f t="shared" si="4"/>
        <v xml:space="preserve">HD 5,2 GB Ultra DMA 5400rpm 3,5" ULTRA DMA FUJITSU </v>
      </c>
      <c r="F83" s="4" t="str">
        <f t="shared" si="5"/>
        <v xml:space="preserve">HD 5,2 GB Ultra DMA 5400rpm 3,5" ULTRA DMA FUJITSU 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3"/>
        <v>88960</v>
      </c>
      <c r="E84" s="4" t="str">
        <f t="shared" si="4"/>
        <v xml:space="preserve">HD 6,4 GB Ultra DMA 5400rpm 3,5" ULTRA DMA FUJITSU </v>
      </c>
      <c r="F84" s="4" t="str">
        <f t="shared" si="5"/>
        <v xml:space="preserve">HD 6,4 GB Ultra DMA 5400rpm 3,5" ULTRA DMA FUJITSU 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3"/>
        <v>76160</v>
      </c>
      <c r="E85" s="4" t="str">
        <f t="shared" si="4"/>
        <v>HD 2 GB SCSI III 5400 rpm 3,5" SCSI QUANTUM FIREBALL ST</v>
      </c>
      <c r="F85" s="4" t="str">
        <f t="shared" si="5"/>
        <v>HD 2 GB SCSI III 5400 rpm 3,5" SCSI QUANTUM FIREBALL ST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3"/>
        <v>76320</v>
      </c>
      <c r="E86" s="4" t="str">
        <f t="shared" si="4"/>
        <v>HD 3,2 GB SCSI III 5400rpm 3,5" SCSI QUANTUM FIREBALL ST</v>
      </c>
      <c r="F86" s="4" t="str">
        <f t="shared" si="5"/>
        <v>HD 3,2 GB SCSI III 5400rpm 3,5" SCSI QUANTUM FIREBALL ST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3"/>
        <v>88960</v>
      </c>
      <c r="E87" s="4" t="str">
        <f t="shared" si="4"/>
        <v>HD 4,3 GB SCSI 5400 rpm 3,5" SCSI QUANTUM FIREBALL ST</v>
      </c>
      <c r="F87" s="4" t="str">
        <f t="shared" si="5"/>
        <v>HD 4,3 GB SCSI 5400 rpm 3,5" SCSI QUANTUM FIREBALL ST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3"/>
        <v>111200</v>
      </c>
      <c r="E88" s="4" t="str">
        <f t="shared" si="4"/>
        <v>HD 4,5 GB SCSI ULTRA WIDE 7200rpm 3,5" SCSI III, QUANTUM VIKING</v>
      </c>
      <c r="F88" s="4" t="str">
        <f t="shared" si="5"/>
        <v>HD 4,5 GB SCSI ULTRA WIDE 7200rpm 3,5" SCSI III, QUANTUM VIKING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3"/>
        <v>204640</v>
      </c>
      <c r="E89" s="4" t="str">
        <f t="shared" si="4"/>
        <v>HD 4,5 GB SCSI ULTRA WIDE 10.000rpm 3,5" SCSI U.W. SEAGATE CHEETAH</v>
      </c>
      <c r="F89" s="4" t="str">
        <f t="shared" si="5"/>
        <v>HD 4,5 GB SCSI ULTRA WIDE 10.000rpm 3,5" SCSI U.W. SEAGATE CHEETAH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3"/>
        <v>5600</v>
      </c>
      <c r="E90" s="4" t="str">
        <f t="shared" si="4"/>
        <v>FDD 1,44MB PANASONIC</v>
      </c>
      <c r="F90" s="4" t="str">
        <f t="shared" si="5"/>
        <v>FDD 1,44MB PANASONIC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3"/>
        <v>28000</v>
      </c>
      <c r="E91" s="4" t="str">
        <f t="shared" si="4"/>
        <v>FLOPPY DRIVE 120MB PANASONIC LS-120</v>
      </c>
      <c r="F91" s="4" t="str">
        <f t="shared" si="5"/>
        <v>FLOPPY DRIVE 120MB PANASONIC LS-120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3"/>
        <v>43520</v>
      </c>
      <c r="E92" s="4" t="str">
        <f t="shared" si="4"/>
        <v>ZIP DRIVE 100MB PARALL. IOMEGA</v>
      </c>
      <c r="F92" s="4" t="str">
        <f t="shared" si="5"/>
        <v>ZIP DRIVE 100MB PARALL. IOMEGA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3"/>
        <v>31680</v>
      </c>
      <c r="E93" s="4" t="str">
        <f t="shared" si="4"/>
        <v>ZIP ATAPI 100MB INTERNO IOMEGA</v>
      </c>
      <c r="F93" s="4" t="str">
        <f t="shared" si="5"/>
        <v>ZIP ATAPI 100MB INTERNO IOMEGA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3"/>
        <v>46400</v>
      </c>
      <c r="E94" s="4" t="str">
        <f t="shared" si="4"/>
        <v>ZIP DRIVE 100MB SCSI IOMEGA</v>
      </c>
      <c r="F94" s="4" t="str">
        <f t="shared" si="5"/>
        <v>ZIP DRIVE 100MB SCSI IOMEGA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3"/>
        <v>94240</v>
      </c>
      <c r="E95" s="4" t="str">
        <f t="shared" si="4"/>
        <v>JAZ DRIVE 1GB INT. IOMEGA</v>
      </c>
      <c r="F95" s="4" t="str">
        <f t="shared" si="5"/>
        <v>JAZ DRIVE 1GB INT. IOMEGA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3"/>
        <v>118880</v>
      </c>
      <c r="E96" s="4" t="str">
        <f t="shared" si="4"/>
        <v>JAZ DRIVE 1GB EXT. IOMEGA</v>
      </c>
      <c r="F96" s="4" t="str">
        <f t="shared" si="5"/>
        <v>JAZ DRIVE 1GB EXT. IOMEGA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3"/>
        <v>43360</v>
      </c>
      <c r="E97" s="4" t="str">
        <f t="shared" si="4"/>
        <v xml:space="preserve">KIT 10  CARTUCCE ZIP DRIVE  </v>
      </c>
      <c r="F97" s="4" t="str">
        <f t="shared" si="5"/>
        <v xml:space="preserve">KIT 10  CARTUCCE ZIP DRIVE  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3"/>
        <v>101120</v>
      </c>
      <c r="E98" s="4" t="str">
        <f t="shared" si="4"/>
        <v xml:space="preserve">KIT 3 CARTUCCE JAZ DRIVE  </v>
      </c>
      <c r="F98" s="4" t="str">
        <f t="shared" si="5"/>
        <v xml:space="preserve">KIT 3 CARTUCCE JAZ DRIVE  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3"/>
        <v>14400</v>
      </c>
      <c r="E99" s="4" t="str">
        <f t="shared" si="4"/>
        <v>KIT 3 CARTUCCE 120MB 3M per LS-120</v>
      </c>
      <c r="F99" s="4" t="str">
        <f t="shared" si="5"/>
        <v>KIT 3 CARTUCCE 120MB 3M per LS-120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3"/>
        <v>640</v>
      </c>
      <c r="E100" s="4" t="str">
        <f t="shared" si="4"/>
        <v>FRAME HDD  Kit montaggio Hard Disk 3,5"</v>
      </c>
      <c r="F100" s="4" t="str">
        <f t="shared" si="5"/>
        <v>FRAME HDD  Kit montaggio Hard Disk 3,5"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3"/>
        <v>800</v>
      </c>
      <c r="E101" s="4" t="str">
        <f t="shared" si="4"/>
        <v>FRAME FDD  Kit montaggio Floppy Disk Drive 3,5"</v>
      </c>
      <c r="F101" s="4" t="str">
        <f t="shared" si="5"/>
        <v>FRAME FDD  Kit montaggio Floppy Disk Drive 3,5"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3"/>
        <v>6560</v>
      </c>
      <c r="E102" s="4" t="str">
        <f t="shared" si="4"/>
        <v>FRAME REMOVIBILE 3.5" Kit FRAME REMOVIBILE per HDD 3,5"</v>
      </c>
      <c r="F102" s="4" t="str">
        <f t="shared" si="5"/>
        <v>FRAME REMOVIBILE 3.5" Kit FRAME REMOVIBILE per HDD 3,5"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>
        <f t="shared" si="3"/>
        <v>0</v>
      </c>
      <c r="E103" s="4" t="str">
        <f t="shared" si="4"/>
        <v xml:space="preserve">MAGNETO-OTTICI </v>
      </c>
      <c r="F103" s="4" t="str">
        <f t="shared" si="5"/>
        <v xml:space="preserve">MAGNETO-OTTICI 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3"/>
        <v>117920</v>
      </c>
      <c r="E104" s="4" t="str">
        <f t="shared" si="4"/>
        <v>M.O. + CD 4X,  PD 2000 INT. 650 MB PLASMON PD2000I</v>
      </c>
      <c r="F104" s="4" t="str">
        <f t="shared" si="5"/>
        <v>M.O. + CD 4X,  PD 2000 INT. 650 MB PLASMON PD2000I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3"/>
        <v>145600</v>
      </c>
      <c r="E105" s="4" t="str">
        <f t="shared" si="4"/>
        <v>M.O. + CD 4X,  PD 2000 EXT. 650 MB PLASMON PD2000E</v>
      </c>
      <c r="F105" s="4" t="str">
        <f t="shared" si="5"/>
        <v>M.O. + CD 4X,  PD 2000 EXT. 650 MB PLASMON PD2000E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3"/>
        <v>38560</v>
      </c>
      <c r="E106" s="4" t="str">
        <f t="shared" si="4"/>
        <v xml:space="preserve">KIT 5 CARTUCCE 650 MB </v>
      </c>
      <c r="F106" s="4" t="str">
        <f t="shared" si="5"/>
        <v xml:space="preserve">KIT 5 CARTUCCE 650 MB 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>
        <f t="shared" si="3"/>
        <v>0</v>
      </c>
      <c r="E107" s="4" t="str">
        <f t="shared" si="4"/>
        <v xml:space="preserve">CD ROM </v>
      </c>
      <c r="F107" s="4" t="str">
        <f t="shared" si="5"/>
        <v xml:space="preserve">CD ROM 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3"/>
        <v>17920</v>
      </c>
      <c r="E108" s="4" t="str">
        <f t="shared" si="4"/>
        <v>CD ROM 24X HITACHI CDR 8330 24 velocita',EIDE</v>
      </c>
      <c r="F108" s="4" t="str">
        <f t="shared" si="5"/>
        <v>CD ROM 24X HITACHI CDR 8330 24 velocita',EIDE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3"/>
        <v>18080</v>
      </c>
      <c r="E109" s="4" t="str">
        <f t="shared" si="4"/>
        <v>CD ROM 24X CREATIVE 24 velocita',EIDE</v>
      </c>
      <c r="F109" s="4" t="str">
        <f t="shared" si="5"/>
        <v>CD ROM 24X CREATIVE 24 velocita',EIDE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3"/>
        <v>19360</v>
      </c>
      <c r="E110" s="4" t="str">
        <f t="shared" si="4"/>
        <v>CD ROM 24X PIONEER 502-S Bulk 24 velocita',EIDE,SLOT-IN</v>
      </c>
      <c r="F110" s="4" t="str">
        <f t="shared" si="5"/>
        <v>CD ROM 24X PIONEER 502-S Bulk 24 velocita',EIDE,SLOT-IN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3"/>
        <v>25600</v>
      </c>
      <c r="E111" s="4" t="str">
        <f t="shared" si="4"/>
        <v>CD ROM 34X ASUS 34 velocita',EIDE</v>
      </c>
      <c r="F111" s="4" t="str">
        <f t="shared" si="5"/>
        <v>CD ROM 34X ASUS 34 velocita',EIDE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3"/>
        <v>31200</v>
      </c>
      <c r="E112" s="4" t="str">
        <f t="shared" si="4"/>
        <v>CD ROM 24X SCSI NEC 24 velocita',SCSI</v>
      </c>
      <c r="F112" s="4" t="str">
        <f t="shared" si="5"/>
        <v>CD ROM 24X SCSI NEC 24 velocita',SCSI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3"/>
        <v>34400</v>
      </c>
      <c r="E113" s="4" t="str">
        <f t="shared" si="4"/>
        <v>CD ROM 32X SCSI WAITEC 32 velocita',SCSI</v>
      </c>
      <c r="F113" s="4" t="str">
        <f t="shared" si="5"/>
        <v>CD ROM 32X SCSI WAITEC 32 velocita',SCSI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3"/>
        <v>51360</v>
      </c>
      <c r="E114" s="4" t="str">
        <f t="shared" si="4"/>
        <v>CD ROM PLEXTOR PX-32TSI 32 velocita',SCSI</v>
      </c>
      <c r="F114" s="4" t="str">
        <f t="shared" si="5"/>
        <v>CD ROM PLEXTOR PX-32TSI 32 velocita',SCSI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3"/>
        <v>98240</v>
      </c>
      <c r="E115" s="4" t="str">
        <f t="shared" si="4"/>
        <v>DVD CREATIVE KIT ENCORE DXR2 CREATIVE</v>
      </c>
      <c r="F115" s="4" t="str">
        <f t="shared" si="5"/>
        <v>DVD CREATIVE KIT ENCORE DXR2 CREATIVE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>
        <f t="shared" si="3"/>
        <v>0</v>
      </c>
      <c r="E116" s="4" t="str">
        <f t="shared" si="4"/>
        <v xml:space="preserve">MASTERIZZATORI </v>
      </c>
      <c r="F116" s="4" t="str">
        <f t="shared" si="5"/>
        <v xml:space="preserve">MASTERIZZATORI 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3"/>
        <v>4800</v>
      </c>
      <c r="E117" s="4" t="str">
        <f t="shared" si="4"/>
        <v>CONFEZIONE 10 CDR 74' Kit 10 pz.</v>
      </c>
      <c r="F117" s="4" t="str">
        <f t="shared" si="5"/>
        <v>CONFEZIONE 10 CDR 74' Kit 10 pz.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3"/>
        <v>5440</v>
      </c>
      <c r="E118" s="4" t="str">
        <f t="shared" si="4"/>
        <v>CD RISCRIVIBILE 74' VERBATIM</v>
      </c>
      <c r="F118" s="4" t="str">
        <f t="shared" si="5"/>
        <v>CD RISCRIVIBILE 74' VERBATIM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3"/>
        <v>5600</v>
      </c>
      <c r="E119" s="4" t="str">
        <f t="shared" si="4"/>
        <v>CONFEZIONE 10 CDR 74' KODAK Kit 10 pz.</v>
      </c>
      <c r="F119" s="4" t="str">
        <f t="shared" si="5"/>
        <v>CONFEZIONE 10 CDR 74' KODAK Kit 10 pz.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3"/>
        <v>12320</v>
      </c>
      <c r="E120" s="4" t="str">
        <f t="shared" si="4"/>
        <v>SOFTWARE LABELLER CD KIT Software per creazione etichette CD</v>
      </c>
      <c r="F120" s="4" t="str">
        <f t="shared" si="5"/>
        <v>SOFTWARE LABELLER CD KIT Software per creazione etichette CD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3"/>
        <v>115680</v>
      </c>
      <c r="E121" s="4" t="str">
        <f t="shared" si="4"/>
        <v>WAITEC WT48/1 - GEAR - int. 4 WRITE 8 READ</v>
      </c>
      <c r="F121" s="4" t="str">
        <f t="shared" si="5"/>
        <v>WAITEC WT48/1 - GEAR - int. 4 WRITE 8 READ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3"/>
        <v>118720</v>
      </c>
      <c r="E122" s="4" t="str">
        <f t="shared" si="4"/>
        <v>WAITEC 2036EI/1 - SOFTWARE  CD RISCRIVIBILE 2REW,2WRI,6READ, EIDE</v>
      </c>
      <c r="F122" s="4" t="str">
        <f t="shared" si="5"/>
        <v>WAITEC 2036EI/1 - SOFTWARE  CD RISCRIVIBILE 2REW,2WRI,6READ, EIDE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3"/>
        <v>124480</v>
      </c>
      <c r="E123" s="4" t="str">
        <f t="shared" si="4"/>
        <v>RICOH MP6200ADP + SOFT.+5 CDR CD RISCRIVIBILE 2REW,2WRI,6R E-IDE</v>
      </c>
      <c r="F123" s="4" t="str">
        <f t="shared" si="5"/>
        <v>RICOH MP6200ADP + SOFT.+5 CDR CD RISCRIVIBILE 2REW,2WRI,6R E-IDE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3"/>
        <v>140480</v>
      </c>
      <c r="E124" s="4" t="str">
        <f t="shared" si="4"/>
        <v>RICOH MP6200SR - SOFTWARE SCSI CD RISCRIVIBILE 2REW,2WRI,6READ, SCSI</v>
      </c>
      <c r="F124" s="4" t="str">
        <f t="shared" si="5"/>
        <v>RICOH MP6200SR - SOFTWARE SCSI CD RISCRIVIBILE 2REW,2WRI,6READ, SCSI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3"/>
        <v>141280</v>
      </c>
      <c r="E125" s="4" t="str">
        <f t="shared" si="4"/>
        <v>WAITEC 2026/1 - SOFTWARE SCSI CD RISCRIVIBILE 2REW,2WRI,6READ, SCSI</v>
      </c>
      <c r="F125" s="4" t="str">
        <f t="shared" si="5"/>
        <v>WAITEC 2026/1 - SOFTWARE SCSI CD RISCRIVIBILE 2REW,2WRI,6READ, SCSI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3"/>
        <v>146080</v>
      </c>
      <c r="E126" s="4" t="str">
        <f t="shared" si="4"/>
        <v>CDR 480i PLASMON EASY CD int. 4 WRITE 8 READ</v>
      </c>
      <c r="F126" s="4" t="str">
        <f t="shared" si="5"/>
        <v>CDR 480i PLASMON EASY CD int. 4 WRITE 8 READ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3"/>
        <v>180000</v>
      </c>
      <c r="E127" s="4" t="str">
        <f t="shared" si="4"/>
        <v>CDR 480e PLASMON EASY CD ext. 4 WRITE 8 READ</v>
      </c>
      <c r="F127" s="4" t="str">
        <f t="shared" si="5"/>
        <v>CDR 480e PLASMON EASY CD ext. 4 WRITE 8 READ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>
        <f t="shared" si="3"/>
        <v>0</v>
      </c>
      <c r="E128" s="4" t="str">
        <f t="shared" si="4"/>
        <v xml:space="preserve">MEMORIE </v>
      </c>
      <c r="F128" s="4" t="str">
        <f t="shared" si="5"/>
        <v xml:space="preserve">MEMORIE 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3"/>
        <v>5280</v>
      </c>
      <c r="E129" s="4" t="str">
        <f t="shared" si="4"/>
        <v xml:space="preserve">SIMM 8MB 72 PIN (EDO) </v>
      </c>
      <c r="F129" s="4" t="str">
        <f t="shared" si="5"/>
        <v xml:space="preserve">SIMM 8MB 72 PIN (EDO) 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3"/>
        <v>8320</v>
      </c>
      <c r="E130" s="4" t="str">
        <f t="shared" si="4"/>
        <v xml:space="preserve">SIMM 16MB 72 PIN (EDO) </v>
      </c>
      <c r="F130" s="4" t="str">
        <f t="shared" si="5"/>
        <v xml:space="preserve">SIMM 16MB 72 PIN (EDO) 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6">C131*0.16</f>
        <v>15520</v>
      </c>
      <c r="E131" s="4" t="str">
        <f t="shared" ref="E131:E194" si="7">CONCATENATE(A131," ",B131)</f>
        <v xml:space="preserve">SIMM 32MB 72 PIN (EDO) </v>
      </c>
      <c r="F131" s="4" t="str">
        <f t="shared" ref="F131:F194" si="8">A131&amp;" "&amp;B131</f>
        <v xml:space="preserve">SIMM 32MB 72 PIN (EDO) 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>
        <f t="shared" si="6"/>
        <v>0</v>
      </c>
      <c r="E132" s="4" t="str">
        <f t="shared" si="7"/>
        <v xml:space="preserve">MODEM FAX - VIDEOCAMERA  </v>
      </c>
      <c r="F132" s="4" t="str">
        <f t="shared" si="8"/>
        <v xml:space="preserve">MODEM FAX - VIDEOCAMERA  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6"/>
        <v>20960</v>
      </c>
      <c r="E133" s="4" t="str">
        <f t="shared" si="7"/>
        <v>M/F MOTOROLA 3400PRO 28800 EXT MOTOROLA</v>
      </c>
      <c r="F133" s="4" t="str">
        <f t="shared" si="8"/>
        <v>M/F MOTOROLA 3400PRO 28800 EXT MOTOROLA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6"/>
        <v>27040</v>
      </c>
      <c r="E134" s="4" t="str">
        <f t="shared" si="7"/>
        <v>M/F LEONARDO PC 33600 INT OEM DIGICOM</v>
      </c>
      <c r="F134" s="4" t="str">
        <f t="shared" si="8"/>
        <v>M/F LEONARDO PC 33600 INT OEM DIGICOM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6"/>
        <v>30400</v>
      </c>
      <c r="E135" s="4" t="str">
        <f t="shared" si="7"/>
        <v>M/F LEONARDO PC 33600 EXT DIGICOM</v>
      </c>
      <c r="F135" s="4" t="str">
        <f t="shared" si="8"/>
        <v>M/F LEONARDO PC 33600 EXT DIGICOM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6"/>
        <v>30560</v>
      </c>
      <c r="E136" s="4" t="str">
        <f t="shared" si="7"/>
        <v>M/F MOTOROLA 56K  EXT BULK MOTOROLA</v>
      </c>
      <c r="F136" s="4" t="str">
        <f t="shared" si="8"/>
        <v>M/F MOTOROLA 56K  EXT BULK MOTOROLA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6"/>
        <v>31520</v>
      </c>
      <c r="E137" s="4" t="str">
        <f t="shared" si="7"/>
        <v>M/F LEONARDO PC 33600 INT DIGICOM</v>
      </c>
      <c r="F137" s="4" t="str">
        <f t="shared" si="8"/>
        <v>M/F LEONARDO PC 33600 INT DIGICOM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6"/>
        <v>32160</v>
      </c>
      <c r="E138" s="4" t="str">
        <f t="shared" si="7"/>
        <v>M/F TIZIANO 33600 EXT DIGICOM</v>
      </c>
      <c r="F138" s="4" t="str">
        <f t="shared" si="8"/>
        <v>M/F TIZIANO 33600 EXT DIGICOM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6"/>
        <v>35200</v>
      </c>
      <c r="E139" s="4" t="str">
        <f t="shared" si="7"/>
        <v>M/F SPORTSTER FLASH 33600 EXT ITA  US ROBOTICS</v>
      </c>
      <c r="F139" s="4" t="str">
        <f t="shared" si="8"/>
        <v>M/F SPORTSTER FLASH 33600 EXT ITA  US ROBOTICS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6"/>
        <v>40000</v>
      </c>
      <c r="E140" s="4" t="str">
        <f t="shared" si="7"/>
        <v>M/F MOTOROLA 56K  EXT MOTOROLA</v>
      </c>
      <c r="F140" s="4" t="str">
        <f t="shared" si="8"/>
        <v>M/F MOTOROLA 56K  EXT MOTOROLA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6"/>
        <v>41120</v>
      </c>
      <c r="E141" s="4" t="str">
        <f t="shared" si="7"/>
        <v>M/F LEONARDO  56K  EXT DIGICOM</v>
      </c>
      <c r="F141" s="4" t="str">
        <f t="shared" si="8"/>
        <v>M/F LEONARDO  56K  EXT DIGICOM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6"/>
        <v>44480</v>
      </c>
      <c r="E142" s="4" t="str">
        <f t="shared" si="7"/>
        <v>M/F TIZIANO 56K EXT DIGICOM</v>
      </c>
      <c r="F142" s="4" t="str">
        <f t="shared" si="8"/>
        <v>M/F TIZIANO 56K EXT DIGICOM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6"/>
        <v>44800</v>
      </c>
      <c r="E143" s="4" t="str">
        <f t="shared" si="7"/>
        <v>M/F SPORTSTER MESSAGE PLUS US ROBOTICS</v>
      </c>
      <c r="F143" s="4" t="str">
        <f t="shared" si="8"/>
        <v>M/F SPORTSTER MESSAGE PLUS US ROBOTICS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6"/>
        <v>48000</v>
      </c>
      <c r="E144" s="4" t="str">
        <f t="shared" si="7"/>
        <v>M/F LEONARDO PCMCIA 33600 DIGICOM</v>
      </c>
      <c r="F144" s="4" t="str">
        <f t="shared" si="8"/>
        <v>M/F LEONARDO PCMCIA 33600 DIGICOM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6"/>
        <v>48800</v>
      </c>
      <c r="E145" s="4" t="str">
        <f t="shared" si="7"/>
        <v>KIT VIDEOCONFERENZA "GALILEO" DIGICOM / H.324</v>
      </c>
      <c r="F145" s="4" t="str">
        <f t="shared" si="8"/>
        <v>KIT VIDEOCONFERENZA "GALILEO" DIGICOM / H.324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6"/>
        <v>53600</v>
      </c>
      <c r="E146" s="4" t="str">
        <f t="shared" si="7"/>
        <v>MODEM ISDN TINTORETTO EXT. DIGICOM</v>
      </c>
      <c r="F146" s="4" t="str">
        <f t="shared" si="8"/>
        <v>MODEM ISDN TINTORETTO EXT. DIGICOM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6"/>
        <v>57600</v>
      </c>
      <c r="E147" s="4" t="str">
        <f t="shared" si="7"/>
        <v>M/F LEONARDO PCMCIA 56K DIGICOM</v>
      </c>
      <c r="F147" s="4" t="str">
        <f t="shared" si="8"/>
        <v>M/F LEONARDO PCMCIA 56K DIGICOM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6"/>
        <v>68640</v>
      </c>
      <c r="E148" s="4" t="str">
        <f t="shared" si="7"/>
        <v>MODEM MOTOROLA ISDN  EXT.64/128K MOTOROLA</v>
      </c>
      <c r="F148" s="4" t="str">
        <f t="shared" si="8"/>
        <v>MODEM MOTOROLA ISDN  EXT.64/128K MOTOROLA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6"/>
        <v>112160</v>
      </c>
      <c r="E149" s="4" t="str">
        <f t="shared" si="7"/>
        <v>M/F ISDN DONATELLO EXT. DIGICOM</v>
      </c>
      <c r="F149" s="4" t="str">
        <f t="shared" si="8"/>
        <v>M/F ISDN DONATELLO EXT. DIGICOM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>
        <f t="shared" si="6"/>
        <v>0</v>
      </c>
      <c r="E150" s="4" t="str">
        <f t="shared" si="7"/>
        <v xml:space="preserve">MULTIMEDIA </v>
      </c>
      <c r="F150" s="4" t="str">
        <f t="shared" si="8"/>
        <v xml:space="preserve">MULTIMEDIA 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6"/>
        <v>14400</v>
      </c>
      <c r="E151" s="4" t="str">
        <f t="shared" si="7"/>
        <v>SOUND AXP201/U PCI 64 Asus - ESS Maestro-1 Audio accellerator</v>
      </c>
      <c r="F151" s="4" t="str">
        <f t="shared" si="8"/>
        <v>SOUND AXP201/U PCI 64 Asus - ESS Maestro-1 Audio accellerator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6"/>
        <v>11040</v>
      </c>
      <c r="E152" s="4" t="str">
        <f t="shared" si="7"/>
        <v>SOUND BLASTER 16 PnP  O.E.M. Creative</v>
      </c>
      <c r="F152" s="4" t="str">
        <f t="shared" si="8"/>
        <v>SOUND BLASTER 16 PnP  O.E.M. Creative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6"/>
        <v>14240</v>
      </c>
      <c r="E153" s="4" t="str">
        <f t="shared" si="7"/>
        <v>SOUND BLASTER 16 PnP NO IDE Creative</v>
      </c>
      <c r="F153" s="4" t="str">
        <f t="shared" si="8"/>
        <v>SOUND BLASTER 16 PnP NO IDE Creative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6"/>
        <v>22080</v>
      </c>
      <c r="E154" s="4" t="str">
        <f t="shared" si="7"/>
        <v>SOUND BLASTER AWE64 STD OEM Creative</v>
      </c>
      <c r="F154" s="4" t="str">
        <f t="shared" si="8"/>
        <v>SOUND BLASTER AWE64 STD OEM Creative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6"/>
        <v>31360</v>
      </c>
      <c r="E155" s="4" t="str">
        <f t="shared" si="7"/>
        <v>SOUND BLASTER AWE64 STANDARD Creative</v>
      </c>
      <c r="F155" s="4" t="str">
        <f t="shared" si="8"/>
        <v>SOUND BLASTER AWE64 STANDARD Creative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6"/>
        <v>52640</v>
      </c>
      <c r="E156" s="4" t="str">
        <f t="shared" si="7"/>
        <v>SOUND BLASTER AWE64 GOLD PNP  Creative</v>
      </c>
      <c r="F156" s="4" t="str">
        <f t="shared" si="8"/>
        <v>SOUND BLASTER AWE64 GOLD PNP  Creative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6"/>
        <v>47200</v>
      </c>
      <c r="E157" s="4" t="str">
        <f t="shared" si="7"/>
        <v>KIT "DISCOVERY AWE64" 24X PNP Creative</v>
      </c>
      <c r="F157" s="4" t="str">
        <f t="shared" si="8"/>
        <v>KIT "DISCOVERY AWE64" 24X PNP Creative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6"/>
        <v>3040</v>
      </c>
      <c r="E158" s="4" t="str">
        <f t="shared" si="7"/>
        <v>SPEAKERS MLI-699 MLI-60</v>
      </c>
      <c r="F158" s="4" t="str">
        <f t="shared" si="8"/>
        <v>SPEAKERS MLI-699 MLI-60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6"/>
        <v>4160</v>
      </c>
      <c r="E159" s="4" t="str">
        <f t="shared" si="7"/>
        <v>SPEAKER 25 W FS-60</v>
      </c>
      <c r="F159" s="4" t="str">
        <f t="shared" si="8"/>
        <v>SPEAKER 25 W FS-60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6"/>
        <v>4480</v>
      </c>
      <c r="E160" s="4" t="str">
        <f t="shared" si="7"/>
        <v>SPEAKER PROFESSIONAL 70 W FS-70</v>
      </c>
      <c r="F160" s="4" t="str">
        <f t="shared" si="8"/>
        <v>SPEAKER PROFESSIONAL 70 W FS-70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6"/>
        <v>8960</v>
      </c>
      <c r="E161" s="4" t="str">
        <f t="shared" si="7"/>
        <v>ULTRA SPEAKER 130W FS-100</v>
      </c>
      <c r="F161" s="4" t="str">
        <f t="shared" si="8"/>
        <v>ULTRA SPEAKER 130W FS-100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>
        <f t="shared" si="6"/>
        <v>0</v>
      </c>
      <c r="E162" s="4" t="str">
        <f t="shared" si="7"/>
        <v xml:space="preserve">MICROPROCESSORI </v>
      </c>
      <c r="F162" s="4" t="str">
        <f t="shared" si="8"/>
        <v xml:space="preserve">MICROPROCESSORI 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6"/>
        <v>34560</v>
      </c>
      <c r="E163" s="4" t="str">
        <f t="shared" si="7"/>
        <v xml:space="preserve">PENTIUM 166 INTEL MMX </v>
      </c>
      <c r="F163" s="4" t="str">
        <f t="shared" si="8"/>
        <v xml:space="preserve">PENTIUM 166 INTEL MMX 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6"/>
        <v>40000</v>
      </c>
      <c r="E164" s="4" t="str">
        <f t="shared" si="7"/>
        <v xml:space="preserve">PENTIUM 200 INTEL MMX </v>
      </c>
      <c r="F164" s="4" t="str">
        <f t="shared" si="8"/>
        <v xml:space="preserve">PENTIUM 200 INTEL MMX 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6"/>
        <v>61120</v>
      </c>
      <c r="E165" s="4" t="str">
        <f t="shared" si="7"/>
        <v xml:space="preserve">PENTIUM 233 INTEL MMX </v>
      </c>
      <c r="F165" s="4" t="str">
        <f t="shared" si="8"/>
        <v xml:space="preserve">PENTIUM 233 INTEL MMX 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6"/>
        <v>83840</v>
      </c>
      <c r="E166" s="4" t="str">
        <f t="shared" si="7"/>
        <v xml:space="preserve">PENTIUM II 233 INTEL 512k </v>
      </c>
      <c r="F166" s="4" t="str">
        <f t="shared" si="8"/>
        <v xml:space="preserve">PENTIUM II 233 INTEL 512k 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6"/>
        <v>121120</v>
      </c>
      <c r="E167" s="4" t="str">
        <f t="shared" si="7"/>
        <v xml:space="preserve">PENTIUM II 266 INTEL 512k </v>
      </c>
      <c r="F167" s="4" t="str">
        <f t="shared" si="8"/>
        <v xml:space="preserve">PENTIUM II 266 INTEL 512k 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6"/>
        <v>167200</v>
      </c>
      <c r="E168" s="4" t="str">
        <f t="shared" si="7"/>
        <v xml:space="preserve">PENTIUM II 300 INTEL 512K </v>
      </c>
      <c r="F168" s="4" t="str">
        <f t="shared" si="8"/>
        <v xml:space="preserve">PENTIUM II 300 INTEL 512K 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6"/>
        <v>250880</v>
      </c>
      <c r="E169" s="4" t="str">
        <f t="shared" si="7"/>
        <v xml:space="preserve">PENTIUM II 333 INTEL 512K </v>
      </c>
      <c r="F169" s="4" t="str">
        <f t="shared" si="8"/>
        <v xml:space="preserve">PENTIUM II 333 INTEL 512K 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6"/>
        <v>18720</v>
      </c>
      <c r="E170" s="4" t="str">
        <f t="shared" si="7"/>
        <v xml:space="preserve">SGS P 166+ </v>
      </c>
      <c r="F170" s="4" t="str">
        <f t="shared" si="8"/>
        <v xml:space="preserve">SGS P 166+ 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6"/>
        <v>25280</v>
      </c>
      <c r="E171" s="4" t="str">
        <f t="shared" si="7"/>
        <v xml:space="preserve">IBM 200 MX </v>
      </c>
      <c r="F171" s="4" t="str">
        <f t="shared" si="8"/>
        <v xml:space="preserve">IBM 200 MX 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6"/>
        <v>41600</v>
      </c>
      <c r="E172" s="4" t="str">
        <f t="shared" si="7"/>
        <v xml:space="preserve">IBM 233 MX </v>
      </c>
      <c r="F172" s="4" t="str">
        <f t="shared" si="8"/>
        <v xml:space="preserve">IBM 233 MX 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6"/>
        <v>30880</v>
      </c>
      <c r="E173" s="4" t="str">
        <f t="shared" si="7"/>
        <v xml:space="preserve">AMD K6-166 </v>
      </c>
      <c r="F173" s="4" t="str">
        <f t="shared" si="8"/>
        <v xml:space="preserve">AMD K6-166 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6"/>
        <v>43200</v>
      </c>
      <c r="E174" s="4" t="str">
        <f t="shared" si="7"/>
        <v xml:space="preserve">AMD K6-200 </v>
      </c>
      <c r="F174" s="4" t="str">
        <f t="shared" si="8"/>
        <v xml:space="preserve">AMD K6-200 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6"/>
        <v>50240</v>
      </c>
      <c r="E175" s="4" t="str">
        <f t="shared" si="7"/>
        <v xml:space="preserve">AMD K6-233 </v>
      </c>
      <c r="F175" s="4" t="str">
        <f t="shared" si="8"/>
        <v xml:space="preserve">AMD K6-233 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6"/>
        <v>143040</v>
      </c>
      <c r="E176" s="4" t="str">
        <f t="shared" si="7"/>
        <v xml:space="preserve">PENTIUM PRO 180 MZH </v>
      </c>
      <c r="F176" s="4" t="str">
        <f t="shared" si="8"/>
        <v xml:space="preserve">PENTIUM PRO 180 MZH 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6"/>
        <v>166400</v>
      </c>
      <c r="E177" s="4" t="str">
        <f t="shared" si="7"/>
        <v xml:space="preserve">PENTIUM PRO 200 MZH </v>
      </c>
      <c r="F177" s="4" t="str">
        <f t="shared" si="8"/>
        <v xml:space="preserve">PENTIUM PRO 200 MZH 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6"/>
        <v>1280</v>
      </c>
      <c r="E178" s="4" t="str">
        <f t="shared" si="7"/>
        <v xml:space="preserve">VENTOLINA PENTIUM 75-166 </v>
      </c>
      <c r="F178" s="4" t="str">
        <f t="shared" si="8"/>
        <v xml:space="preserve">VENTOLINA PENTIUM 75-166 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6"/>
        <v>1600</v>
      </c>
      <c r="E179" s="4" t="str">
        <f t="shared" si="7"/>
        <v xml:space="preserve">VENTOLINA PENTIUM 200 </v>
      </c>
      <c r="F179" s="4" t="str">
        <f t="shared" si="8"/>
        <v xml:space="preserve">VENTOLINA PENTIUM 200 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6"/>
        <v>3840</v>
      </c>
      <c r="E180" s="4" t="str">
        <f t="shared" si="7"/>
        <v xml:space="preserve">VENTOLA PER PENTIUM PRO </v>
      </c>
      <c r="F180" s="4" t="str">
        <f t="shared" si="8"/>
        <v xml:space="preserve">VENTOLA PER PENTIUM PRO 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6"/>
        <v>1760</v>
      </c>
      <c r="E181" s="4" t="str">
        <f t="shared" si="7"/>
        <v xml:space="preserve">VENTOLINA PER IBM/CYRIX 686  </v>
      </c>
      <c r="F181" s="4" t="str">
        <f t="shared" si="8"/>
        <v xml:space="preserve">VENTOLINA PER IBM/CYRIX 686  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6"/>
        <v>1600</v>
      </c>
      <c r="E182" s="4" t="str">
        <f t="shared" si="7"/>
        <v xml:space="preserve">VENTOLA 3 PIN per TX97  </v>
      </c>
      <c r="F182" s="4" t="str">
        <f t="shared" si="8"/>
        <v xml:space="preserve">VENTOLA 3 PIN per TX97  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6"/>
        <v>4160</v>
      </c>
      <c r="E183" s="4" t="str">
        <f t="shared" si="7"/>
        <v xml:space="preserve">VENTOLA PENTIUM II  </v>
      </c>
      <c r="F183" s="4" t="str">
        <f t="shared" si="8"/>
        <v xml:space="preserve">VENTOLA PENTIUM II  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>
        <f t="shared" si="6"/>
        <v>0</v>
      </c>
      <c r="E184" s="4" t="str">
        <f t="shared" si="7"/>
        <v xml:space="preserve">TASTIERE </v>
      </c>
      <c r="F184" s="4" t="str">
        <f t="shared" si="8"/>
        <v xml:space="preserve">TASTIERE 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6"/>
        <v>3520</v>
      </c>
      <c r="E185" s="4" t="str">
        <f t="shared" si="7"/>
        <v>TAST. ITA 105 TASTI WIN 95 UNIKEY</v>
      </c>
      <c r="F185" s="4" t="str">
        <f t="shared" si="8"/>
        <v>TAST. ITA 105 TASTI WIN 95 UNIKEY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6"/>
        <v>10080</v>
      </c>
      <c r="E186" s="4" t="str">
        <f t="shared" si="7"/>
        <v>TAST. ITA   79t BTC</v>
      </c>
      <c r="F186" s="4" t="str">
        <f t="shared" si="8"/>
        <v>TAST. ITA   79t BTC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6"/>
        <v>10080</v>
      </c>
      <c r="E187" s="4" t="str">
        <f t="shared" si="7"/>
        <v>TAST. USA 79t BTC</v>
      </c>
      <c r="F187" s="4" t="str">
        <f t="shared" si="8"/>
        <v>TAST. USA 79t BTC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6"/>
        <v>4160</v>
      </c>
      <c r="E188" s="4" t="str">
        <f t="shared" si="7"/>
        <v>TAST. USA 105 TASTI WIN95 BTC</v>
      </c>
      <c r="F188" s="4" t="str">
        <f t="shared" si="8"/>
        <v>TAST. USA 105 TASTI WIN95 BTC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6"/>
        <v>4000</v>
      </c>
      <c r="E189" s="4" t="str">
        <f t="shared" si="7"/>
        <v>TAST. ITA  105 TASTI NMB, WIN95 NMB</v>
      </c>
      <c r="F189" s="4" t="str">
        <f t="shared" si="8"/>
        <v>TAST. ITA  105 TASTI NMB, WIN95 NMB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6"/>
        <v>4000</v>
      </c>
      <c r="E190" s="4" t="str">
        <f t="shared" si="7"/>
        <v>TAST. ITA  105 TASTI NMB, PS/2 WIN95 NMB</v>
      </c>
      <c r="F190" s="4" t="str">
        <f t="shared" si="8"/>
        <v>TAST. ITA  105 TASTI NMB, PS/2 WIN95 NMB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6"/>
        <v>7360</v>
      </c>
      <c r="E191" s="4" t="str">
        <f t="shared" si="7"/>
        <v>TAST. ITA 105 TASTI "CYPRESS"  WIN95 NMB</v>
      </c>
      <c r="F191" s="4" t="str">
        <f t="shared" si="8"/>
        <v>TAST. ITA 105 TASTI "CYPRESS"  WIN95 NMB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>
        <f t="shared" si="6"/>
        <v>0</v>
      </c>
      <c r="E192" s="4" t="str">
        <f t="shared" si="7"/>
        <v xml:space="preserve">SCANNER E ACCESSORI </v>
      </c>
      <c r="F192" s="4" t="str">
        <f t="shared" si="8"/>
        <v xml:space="preserve">SCANNER E ACCESSORI 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6"/>
        <v>5920</v>
      </c>
      <c r="E193" s="4" t="str">
        <f t="shared" si="7"/>
        <v>MOUSE  PILOT SERIALE LOGITECH</v>
      </c>
      <c r="F193" s="4" t="str">
        <f t="shared" si="8"/>
        <v>MOUSE  PILOT SERIALE LOGITECH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6"/>
        <v>5920</v>
      </c>
      <c r="E194" s="4" t="str">
        <f t="shared" si="7"/>
        <v>MOUSE  PILOT P/S2 LOGITECH</v>
      </c>
      <c r="F194" s="4" t="str">
        <f t="shared" si="8"/>
        <v>MOUSE  PILOT P/S2 LOGITECH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9">C195*0.16</f>
        <v>1760</v>
      </c>
      <c r="E195" s="4" t="str">
        <f t="shared" ref="E195:E258" si="10">CONCATENATE(A195," ",B195)</f>
        <v>MOUSE SERIALE 3 TASTI PRIMAX</v>
      </c>
      <c r="F195" s="4" t="str">
        <f t="shared" ref="F195:F258" si="11">A195&amp;" "&amp;B195</f>
        <v>MOUSE SERIALE 3 TASTI PRIMAX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9"/>
        <v>7360</v>
      </c>
      <c r="E196" s="4" t="str">
        <f t="shared" si="10"/>
        <v>MOUSE TRACKBALL  PRIMAX</v>
      </c>
      <c r="F196" s="4" t="str">
        <f t="shared" si="11"/>
        <v>MOUSE TRACKBALL  PRIMAX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9"/>
        <v>3040</v>
      </c>
      <c r="E197" s="4" t="str">
        <f t="shared" si="10"/>
        <v>MOUSE "RAINBOW" SERIALE PRIMAX</v>
      </c>
      <c r="F197" s="4" t="str">
        <f t="shared" si="11"/>
        <v>MOUSE "RAINBOW" SERIALE PRIMAX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9"/>
        <v>2080</v>
      </c>
      <c r="E198" s="4" t="str">
        <f t="shared" si="10"/>
        <v>MOUSE  ECHO PS/2 PRIMAX</v>
      </c>
      <c r="F198" s="4" t="str">
        <f t="shared" si="11"/>
        <v>MOUSE  ECHO PS/2 PRIMAX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9"/>
        <v>4160</v>
      </c>
      <c r="E199" s="4" t="str">
        <f t="shared" si="10"/>
        <v>VENUS MOUSE SERIALE PRIMAX</v>
      </c>
      <c r="F199" s="4" t="str">
        <f t="shared" si="11"/>
        <v>VENUS MOUSE SERIALE PRIMAX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9"/>
        <v>4160</v>
      </c>
      <c r="E200" s="4" t="str">
        <f t="shared" si="10"/>
        <v>VENUS MOUSE PS/2 PRIMAX</v>
      </c>
      <c r="F200" s="4" t="str">
        <f t="shared" si="11"/>
        <v>VENUS MOUSE PS/2 PRIMAX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9"/>
        <v>3200</v>
      </c>
      <c r="E201" s="4" t="str">
        <f t="shared" si="10"/>
        <v>JOYSTICK DIGITALE PRIMAX</v>
      </c>
      <c r="F201" s="4" t="str">
        <f t="shared" si="11"/>
        <v>JOYSTICK DIGITALE PRIMAX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9"/>
        <v>7840</v>
      </c>
      <c r="E202" s="4" t="str">
        <f t="shared" si="10"/>
        <v>JOYSTICK ULTRASTRIKER PRIMAX</v>
      </c>
      <c r="F202" s="4" t="str">
        <f t="shared" si="11"/>
        <v>JOYSTICK ULTRASTRIKER PRIMAX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9"/>
        <v>5280</v>
      </c>
      <c r="E203" s="4" t="str">
        <f t="shared" si="10"/>
        <v>NAVIGATOR MOUSE PRIMAX</v>
      </c>
      <c r="F203" s="4" t="str">
        <f t="shared" si="11"/>
        <v>NAVIGATOR MOUSE PRIMAX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9"/>
        <v>10880</v>
      </c>
      <c r="E204" s="4" t="str">
        <f t="shared" si="10"/>
        <v>JOYSTICK EXCALIBUR PRIMAX</v>
      </c>
      <c r="F204" s="4" t="str">
        <f t="shared" si="11"/>
        <v>JOYSTICK EXCALIBUR PRIMAX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9"/>
        <v>5280</v>
      </c>
      <c r="E205" s="4" t="str">
        <f t="shared" si="10"/>
        <v>GAMEPAD CONQUEROR PRIMAX</v>
      </c>
      <c r="F205" s="4" t="str">
        <f t="shared" si="11"/>
        <v>GAMEPAD CONQUEROR PRIMAX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9"/>
        <v>23520</v>
      </c>
      <c r="E206" s="4" t="str">
        <f t="shared" si="10"/>
        <v>COLOR HAND SCANNER PRIMAX</v>
      </c>
      <c r="F206" s="4" t="str">
        <f t="shared" si="11"/>
        <v>COLOR HAND SCANNER PRIMAX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9"/>
        <v>24160</v>
      </c>
      <c r="E207" s="4" t="str">
        <f t="shared" si="10"/>
        <v>SCANNER COLORADO 4800 SW + OCR  PRIMAX</v>
      </c>
      <c r="F207" s="4" t="str">
        <f t="shared" si="11"/>
        <v>SCANNER COLORADO 4800 SW + OCR  PRIMAX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9"/>
        <v>31520</v>
      </c>
      <c r="E208" s="4" t="str">
        <f t="shared" si="10"/>
        <v>SCANNER COLORADO D600 SW + OCR  PRIMAX</v>
      </c>
      <c r="F208" s="4" t="str">
        <f t="shared" si="11"/>
        <v>SCANNER COLORADO D600 SW + OCR  PRIMAX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9"/>
        <v>49600</v>
      </c>
      <c r="E209" s="4" t="str">
        <f t="shared" si="10"/>
        <v>SCANNER  DIRECT 9600 SW + OCR PRIMAX</v>
      </c>
      <c r="F209" s="4" t="str">
        <f t="shared" si="11"/>
        <v>SCANNER  DIRECT 9600 SW + OCR PRIMAX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9"/>
        <v>43360</v>
      </c>
      <c r="E210" s="4" t="str">
        <f t="shared" si="10"/>
        <v>SCANNER  JEWEL 4800 SCSI PRIMAX</v>
      </c>
      <c r="F210" s="4" t="str">
        <f t="shared" si="11"/>
        <v>SCANNER  JEWEL 4800 SCSI PRIMAX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9"/>
        <v>73280</v>
      </c>
      <c r="E211" s="4" t="str">
        <f t="shared" si="10"/>
        <v>SCANNER PROFI  9600 SCSI PRIMAX</v>
      </c>
      <c r="F211" s="4" t="str">
        <f t="shared" si="11"/>
        <v>SCANNER PROFI  9600 SCSI PRIMAX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9"/>
        <v>65920</v>
      </c>
      <c r="E212" s="4" t="str">
        <f t="shared" si="10"/>
        <v>SCANNER PHODOX U. S. 300 PRIMAX</v>
      </c>
      <c r="F212" s="4" t="str">
        <f t="shared" si="11"/>
        <v>SCANNER PHODOX U. S. 300 PRIMAX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9"/>
        <v>129120</v>
      </c>
      <c r="E213" s="4" t="str">
        <f t="shared" si="10"/>
        <v>FILMSCAN-200PC EPSON</v>
      </c>
      <c r="F213" s="4" t="str">
        <f t="shared" si="11"/>
        <v>FILMSCAN-200PC EPSON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9"/>
        <v>640</v>
      </c>
      <c r="E214" s="4" t="str">
        <f t="shared" si="10"/>
        <v xml:space="preserve">TAPPETINO PER MOUSE </v>
      </c>
      <c r="F214" s="4" t="str">
        <f t="shared" si="11"/>
        <v xml:space="preserve">TAPPETINO PER MOUSE 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9"/>
        <v>12960</v>
      </c>
      <c r="E215" s="4" t="str">
        <f t="shared" si="10"/>
        <v xml:space="preserve">ALIMENTATORE 200 W CE </v>
      </c>
      <c r="F215" s="4" t="str">
        <f t="shared" si="11"/>
        <v xml:space="preserve">ALIMENTATORE 200 W CE 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9"/>
        <v>20000</v>
      </c>
      <c r="E216" s="4" t="str">
        <f t="shared" si="10"/>
        <v xml:space="preserve">ALIMENTATORE 250 W CE ATX </v>
      </c>
      <c r="F216" s="4" t="str">
        <f t="shared" si="11"/>
        <v xml:space="preserve">ALIMENTATORE 250 W CE ATX 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9"/>
        <v>15680</v>
      </c>
      <c r="E217" s="4" t="str">
        <f t="shared" si="10"/>
        <v xml:space="preserve">ALIMENTATORE 230 W CE ATX </v>
      </c>
      <c r="F217" s="4" t="str">
        <f t="shared" si="11"/>
        <v xml:space="preserve">ALIMENTATORE 230 W CE ATX 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9"/>
        <v>22400</v>
      </c>
      <c r="E218" s="4" t="str">
        <f t="shared" si="10"/>
        <v xml:space="preserve">ALIMENTATORE 300 W CE ATX </v>
      </c>
      <c r="F218" s="4" t="str">
        <f t="shared" si="11"/>
        <v xml:space="preserve">ALIMENTATORE 300 W CE ATX 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9"/>
        <v>800</v>
      </c>
      <c r="E219" s="4" t="str">
        <f t="shared" si="10"/>
        <v>CAVO PARALLELO STAMP. MT 1,8 Unidirez.</v>
      </c>
      <c r="F219" s="4" t="str">
        <f t="shared" si="11"/>
        <v>CAVO PARALLELO STAMP. MT 1,8 Unidirez.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9"/>
        <v>960</v>
      </c>
      <c r="E220" s="4" t="str">
        <f t="shared" si="10"/>
        <v>CAVO PARALLELO STAMP. MT 1,8 Bidirez.</v>
      </c>
      <c r="F220" s="4" t="str">
        <f t="shared" si="11"/>
        <v>CAVO PARALLELO STAMP. MT 1,8 Bidirez.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9"/>
        <v>1440</v>
      </c>
      <c r="E221" s="4" t="str">
        <f t="shared" si="10"/>
        <v xml:space="preserve">CAVO PARALLELO STAMP. MT 3 </v>
      </c>
      <c r="F221" s="4" t="str">
        <f t="shared" si="11"/>
        <v xml:space="preserve">CAVO PARALLELO STAMP. MT 3 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9"/>
        <v>1280</v>
      </c>
      <c r="E222" s="4" t="str">
        <f t="shared" si="10"/>
        <v>CONNETTORE MOUSE PS/2 per M/B ASUS P55T2P4</v>
      </c>
      <c r="F222" s="4" t="str">
        <f t="shared" si="11"/>
        <v>CONNETTORE MOUSE PS/2 per M/B ASUS P55T2P4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9"/>
        <v>1760</v>
      </c>
      <c r="E223" s="4" t="str">
        <f t="shared" si="10"/>
        <v xml:space="preserve">CONNETTORE TASTIERA PS/2 </v>
      </c>
      <c r="F223" s="4" t="str">
        <f t="shared" si="11"/>
        <v xml:space="preserve">CONNETTORE TASTIERA PS/2 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9"/>
        <v>3360</v>
      </c>
      <c r="E224" s="4" t="str">
        <f t="shared" si="10"/>
        <v>CONNETTORE USB/MIR per M/B ASUS TX97</v>
      </c>
      <c r="F224" s="4" t="str">
        <f t="shared" si="11"/>
        <v>CONNETTORE USB/MIR per M/B ASUS TX97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9"/>
        <v>2240</v>
      </c>
      <c r="E225" s="4" t="str">
        <f t="shared" si="10"/>
        <v>DATA-SWITCH 2/1 MANUALE PRIMAX</v>
      </c>
      <c r="F225" s="4" t="str">
        <f t="shared" si="11"/>
        <v>DATA-SWITCH 2/1 MANUALE PRIMAX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9"/>
        <v>3680</v>
      </c>
      <c r="E226" s="4" t="str">
        <f t="shared" si="10"/>
        <v>DATA-SWITCH 2/2 MANUALE PRIMAX</v>
      </c>
      <c r="F226" s="4" t="str">
        <f t="shared" si="11"/>
        <v>DATA-SWITCH 2/2 MANUALE PRIMAX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9"/>
        <v>8160</v>
      </c>
      <c r="E227" s="4" t="str">
        <f t="shared" si="10"/>
        <v>DATA-SWITCH 2/1 BIDIREZ. PRIMAX</v>
      </c>
      <c r="F227" s="4" t="str">
        <f t="shared" si="11"/>
        <v>DATA-SWITCH 2/1 BIDIREZ. PRIMAX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>
        <f t="shared" si="9"/>
        <v>0</v>
      </c>
      <c r="E228" s="4" t="str">
        <f t="shared" si="10"/>
        <v xml:space="preserve">SOFTWARE </v>
      </c>
      <c r="F228" s="4" t="str">
        <f t="shared" si="11"/>
        <v xml:space="preserve">SOFTWARE 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9"/>
        <v>31680</v>
      </c>
      <c r="E229" s="4" t="str">
        <f t="shared" si="10"/>
        <v>COMBO DOS6.22+WIN3.11+DSK.MAN. MICROSOFT  OEM</v>
      </c>
      <c r="F229" s="4" t="str">
        <f t="shared" si="11"/>
        <v>COMBO DOS6.22+WIN3.11+DSK.MAN. MICROSOFT  OEM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9"/>
        <v>26720</v>
      </c>
      <c r="E230" s="4" t="str">
        <f t="shared" si="10"/>
        <v>WINDOWS 95, MANUALI + CD MICROSOFT  OEM</v>
      </c>
      <c r="F230" s="4" t="str">
        <f t="shared" si="11"/>
        <v>WINDOWS 95, MANUALI + CD MICROSOFT  OEM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9"/>
        <v>15200</v>
      </c>
      <c r="E231" s="4" t="str">
        <f t="shared" si="10"/>
        <v>LICENZA STUDENTE SISTEMI  MICROSOFT  STUDENTE</v>
      </c>
      <c r="F231" s="4" t="str">
        <f t="shared" si="11"/>
        <v>LICENZA STUDENTE SISTEMI  MICROSOFT  STUDENTE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9"/>
        <v>22560</v>
      </c>
      <c r="E232" s="4" t="str">
        <f t="shared" si="10"/>
        <v>LICENZA STUDENTE APPLICAZIONI MICROSOFT  STUDENTE</v>
      </c>
      <c r="F232" s="4" t="str">
        <f t="shared" si="11"/>
        <v>LICENZA STUDENTE APPLICAZIONI MICROSOFT  STUDENTE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9"/>
        <v>56160</v>
      </c>
      <c r="E233" s="4" t="str">
        <f t="shared" si="10"/>
        <v>WIN NT WORKSTATION 4.0 MICROSOFT  OEM</v>
      </c>
      <c r="F233" s="4" t="str">
        <f t="shared" si="11"/>
        <v>WIN NT WORKSTATION 4.0 MICROSOFT  OEM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9"/>
        <v>66240</v>
      </c>
      <c r="E234" s="4" t="str">
        <f t="shared" si="10"/>
        <v>OFFICE SMALL BUSINESS WORD97,EXCEL97,OUTLOOK97,PUBLISHER97</v>
      </c>
      <c r="F234" s="4" t="str">
        <f t="shared" si="11"/>
        <v>OFFICE SMALL BUSINESS WORD97,EXCEL97,OUTLOOK97,PUBLISHER97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9"/>
        <v>9760</v>
      </c>
      <c r="E235" s="4" t="str">
        <f t="shared" si="10"/>
        <v>WORKS 4.5 ITA, MANUALI + CD MICROSOFT  OEM</v>
      </c>
      <c r="F235" s="4" t="str">
        <f t="shared" si="11"/>
        <v>WORKS 4.5 ITA, MANUALI + CD MICROSOFT  OEM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9"/>
        <v>142880</v>
      </c>
      <c r="E236" s="4" t="str">
        <f t="shared" si="10"/>
        <v>FIVE PACK WIN 95 MICROSOFT  OEM</v>
      </c>
      <c r="F236" s="4" t="str">
        <f t="shared" si="11"/>
        <v>FIVE PACK WIN 95 MICROSOFT  OEM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9"/>
        <v>157600</v>
      </c>
      <c r="E237" s="4" t="str">
        <f t="shared" si="10"/>
        <v>FIVE PACK COMBO WIN3.11-DOS MICROSOFT  OEM</v>
      </c>
      <c r="F237" s="4" t="str">
        <f t="shared" si="11"/>
        <v>FIVE PACK COMBO WIN3.11-DOS MICROSOFT  OEM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9"/>
        <v>47360</v>
      </c>
      <c r="E238" s="4" t="str">
        <f t="shared" si="10"/>
        <v>FIVE PACK WORKS 4.5 MICROSOFT  OEM</v>
      </c>
      <c r="F238" s="4" t="str">
        <f t="shared" si="11"/>
        <v>FIVE PACK WORKS 4.5 MICROSOFT  OEM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9"/>
        <v>109600</v>
      </c>
      <c r="E239" s="4" t="str">
        <f t="shared" si="10"/>
        <v>3-PACK  HOME ESSENTIALS 98 MICROSOFT  OEM</v>
      </c>
      <c r="F239" s="4" t="str">
        <f t="shared" si="11"/>
        <v>3-PACK  HOME ESSENTIALS 98 MICROSOFT  OEM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9"/>
        <v>182080</v>
      </c>
      <c r="E240" s="4" t="str">
        <f t="shared" si="10"/>
        <v>3-PACK WIN NT WORKSTATION 4.0 MICROSOFT  OEM</v>
      </c>
      <c r="F240" s="4" t="str">
        <f t="shared" si="11"/>
        <v>3-PACK WIN NT WORKSTATION 4.0 MICROSOFT  OEM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9"/>
        <v>213440</v>
      </c>
      <c r="E241" s="4" t="str">
        <f t="shared" si="10"/>
        <v>3-PACK OFFICE SMALL BUSINESS MICROSOFT  OEM</v>
      </c>
      <c r="F241" s="4" t="str">
        <f t="shared" si="11"/>
        <v>3-PACK OFFICE SMALL BUSINESS MICROSOFT  OEM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9"/>
        <v>4800</v>
      </c>
      <c r="E242" s="4" t="str">
        <f t="shared" si="10"/>
        <v xml:space="preserve">CD VIDEOGUIDA  WIN'95  </v>
      </c>
      <c r="F242" s="4" t="str">
        <f t="shared" si="11"/>
        <v xml:space="preserve">CD VIDEOGUIDA  WIN'95  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9"/>
        <v>4800</v>
      </c>
      <c r="E243" s="4" t="str">
        <f t="shared" si="10"/>
        <v xml:space="preserve">CD VIDEGUIDA INTERNET  </v>
      </c>
      <c r="F243" s="4" t="str">
        <f t="shared" si="11"/>
        <v xml:space="preserve">CD VIDEGUIDA INTERNET  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9"/>
        <v>64960</v>
      </c>
      <c r="E244" s="4" t="str">
        <f t="shared" si="10"/>
        <v>WINDOWS 95  MICROSOFT</v>
      </c>
      <c r="F244" s="4" t="str">
        <f t="shared" si="11"/>
        <v>WINDOWS 95  MICROSOFT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9"/>
        <v>31520</v>
      </c>
      <c r="E245" s="4" t="str">
        <f t="shared" si="10"/>
        <v>WINDOWS 95 Lic. Agg. MICROSOFT</v>
      </c>
      <c r="F245" s="4" t="str">
        <f t="shared" si="11"/>
        <v>WINDOWS 95 Lic. Agg. MICROSOFT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9"/>
        <v>103200</v>
      </c>
      <c r="E246" s="4" t="str">
        <f t="shared" si="10"/>
        <v>EXCEL 7.0 MICROSOFT</v>
      </c>
      <c r="F246" s="4" t="str">
        <f t="shared" si="11"/>
        <v>EXCEL 7.0 MICROSOFT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9"/>
        <v>103200</v>
      </c>
      <c r="E247" s="4" t="str">
        <f t="shared" si="10"/>
        <v>EXCEL 97 MICROSOFT</v>
      </c>
      <c r="F247" s="4" t="str">
        <f t="shared" si="11"/>
        <v>EXCEL 97 MICROSOFT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9"/>
        <v>41440</v>
      </c>
      <c r="E248" s="4" t="str">
        <f t="shared" si="10"/>
        <v>EXCEL 97 Agg. MICROSOFT</v>
      </c>
      <c r="F248" s="4" t="str">
        <f t="shared" si="11"/>
        <v>EXCEL 97 Agg. MICROSOFT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9"/>
        <v>103360</v>
      </c>
      <c r="E249" s="4" t="str">
        <f t="shared" si="10"/>
        <v>WORD 97 MICROSOFT</v>
      </c>
      <c r="F249" s="4" t="str">
        <f t="shared" si="11"/>
        <v>WORD 97 MICROSOFT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9"/>
        <v>41440</v>
      </c>
      <c r="E250" s="4" t="str">
        <f t="shared" si="10"/>
        <v>WORD 97 Agg. MICROSOFT</v>
      </c>
      <c r="F250" s="4" t="str">
        <f t="shared" si="11"/>
        <v>WORD 97 Agg. MICROSOFT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9"/>
        <v>103200</v>
      </c>
      <c r="E251" s="4" t="str">
        <f t="shared" si="10"/>
        <v>ACCESS 97 MICROSOFT</v>
      </c>
      <c r="F251" s="4" t="str">
        <f t="shared" si="11"/>
        <v>ACCESS 97 MICROSOFT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9"/>
        <v>140640</v>
      </c>
      <c r="E252" s="4" t="str">
        <f t="shared" si="10"/>
        <v>OFFICE 97 SMALL BUSINESS MICROSOFT</v>
      </c>
      <c r="F252" s="4" t="str">
        <f t="shared" si="11"/>
        <v>OFFICE 97 SMALL BUSINESS MICROSOFT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9"/>
        <v>41440</v>
      </c>
      <c r="E253" s="4" t="str">
        <f t="shared" si="10"/>
        <v>HOME ESSENTIALS 98 MICROSOFT</v>
      </c>
      <c r="F253" s="4" t="str">
        <f t="shared" si="11"/>
        <v>HOME ESSENTIALS 98 MICROSOFT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9"/>
        <v>43840</v>
      </c>
      <c r="E254" s="4" t="str">
        <f t="shared" si="10"/>
        <v>FRONTPAGE 98 MICROSOFT</v>
      </c>
      <c r="F254" s="4" t="str">
        <f t="shared" si="11"/>
        <v>FRONTPAGE 98 MICROSOFT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9"/>
        <v>156000</v>
      </c>
      <c r="E255" s="4" t="str">
        <f t="shared" si="10"/>
        <v>OFFICE '97 MICROSOFT</v>
      </c>
      <c r="F255" s="4" t="str">
        <f t="shared" si="11"/>
        <v>OFFICE '97 MICROSOFT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9"/>
        <v>76800</v>
      </c>
      <c r="E256" s="4" t="str">
        <f t="shared" si="10"/>
        <v>OFFICE '97 Agg. MICROSOFT</v>
      </c>
      <c r="F256" s="4" t="str">
        <f t="shared" si="11"/>
        <v>OFFICE '97 Agg. MICROSOFT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9"/>
        <v>189920</v>
      </c>
      <c r="E257" s="4" t="str">
        <f t="shared" si="10"/>
        <v>OFFICE '97 Professional MICROSOFT</v>
      </c>
      <c r="F257" s="4" t="str">
        <f t="shared" si="11"/>
        <v>OFFICE '97 Professional MICROSOFT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9"/>
        <v>133120</v>
      </c>
      <c r="E258" s="4" t="str">
        <f t="shared" si="10"/>
        <v>OFFICE '97 Professional Agg. MICROSOFT</v>
      </c>
      <c r="F258" s="4" t="str">
        <f t="shared" si="11"/>
        <v>OFFICE '97 Professional Agg. MICROSOFT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12">C259*0.16</f>
        <v>36320</v>
      </c>
      <c r="E259" s="4" t="str">
        <f t="shared" ref="E259:E322" si="13">CONCATENATE(A259," ",B259)</f>
        <v>VISUAL BASIC 4.0 STD MICROSOFT</v>
      </c>
      <c r="F259" s="4" t="str">
        <f t="shared" ref="F259:F322" si="14">A259&amp;" "&amp;B259</f>
        <v>VISUAL BASIC 4.0 STD MICROSOFT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12"/>
        <v>15680</v>
      </c>
      <c r="E260" s="4" t="str">
        <f t="shared" si="13"/>
        <v>VISUAL BASIC 4.0 Agg. MICROSOFT</v>
      </c>
      <c r="F260" s="4" t="str">
        <f t="shared" si="14"/>
        <v>VISUAL BASIC 4.0 Agg. MICROSOFT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12"/>
        <v>190400</v>
      </c>
      <c r="E261" s="4" t="str">
        <f t="shared" si="13"/>
        <v>VISUAL BASIC 4.0 PROFESSIONAL MICROSOFT</v>
      </c>
      <c r="F261" s="4" t="str">
        <f t="shared" si="14"/>
        <v>VISUAL BASIC 4.0 PROFESSIONAL MICROSOFT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12"/>
        <v>48000</v>
      </c>
      <c r="E262" s="4" t="str">
        <f t="shared" si="13"/>
        <v>VISUAL BASIC 4.0 PROF. Agg. MICROSOFT</v>
      </c>
      <c r="F262" s="4" t="str">
        <f t="shared" si="14"/>
        <v>VISUAL BASIC 4.0 PROF. Agg. MICROSOFT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12"/>
        <v>385120</v>
      </c>
      <c r="E263" s="4" t="str">
        <f t="shared" si="13"/>
        <v>VISUAL BASIC 4.0 ENTERPRICE MICROSOFT</v>
      </c>
      <c r="F263" s="4" t="str">
        <f t="shared" si="14"/>
        <v>VISUAL BASIC 4.0 ENTERPRICE MICROSOFT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12"/>
        <v>163360</v>
      </c>
      <c r="E264" s="4" t="str">
        <f t="shared" si="13"/>
        <v>VISUAL BASIC 4.0 ENTERPRICE Agg. MICROSOFT</v>
      </c>
      <c r="F264" s="4" t="str">
        <f t="shared" si="14"/>
        <v>VISUAL BASIC 4.0 ENTERPRICE Agg. MICROSOFT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12"/>
        <v>103360</v>
      </c>
      <c r="E265" s="4" t="str">
        <f t="shared" si="13"/>
        <v>POWERPOINT 97 MICROSOFT</v>
      </c>
      <c r="F265" s="4" t="str">
        <f t="shared" si="14"/>
        <v>POWERPOINT 97 MICROSOFT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12"/>
        <v>41440</v>
      </c>
      <c r="E266" s="4" t="str">
        <f t="shared" si="13"/>
        <v>POWERPOINT 97 Agg. MICROSOFT</v>
      </c>
      <c r="F266" s="4" t="str">
        <f t="shared" si="14"/>
        <v>POWERPOINT 97 Agg. MICROSOFT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12"/>
        <v>30880</v>
      </c>
      <c r="E267" s="4" t="str">
        <f t="shared" si="13"/>
        <v>PUBLISHER 3.0 MICROSOFT</v>
      </c>
      <c r="F267" s="4" t="str">
        <f t="shared" si="14"/>
        <v>PUBLISHER 3.0 MICROSOFT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12"/>
        <v>15360</v>
      </c>
      <c r="E268" s="4" t="str">
        <f t="shared" si="13"/>
        <v>PUBLISHER 3.0 Agg. MICROSOFT</v>
      </c>
      <c r="F268" s="4" t="str">
        <f t="shared" si="14"/>
        <v>PUBLISHER 3.0 Agg. MICROSOFT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12"/>
        <v>95040</v>
      </c>
      <c r="E269" s="4" t="str">
        <f t="shared" si="13"/>
        <v>WINDOWS NT 4.0 WORKSTATION MICROSOFT</v>
      </c>
      <c r="F269" s="4" t="str">
        <f t="shared" si="14"/>
        <v>WINDOWS NT 4.0 WORKSTATION MICROSOFT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12"/>
        <v>45120</v>
      </c>
      <c r="E270" s="4" t="str">
        <f t="shared" si="13"/>
        <v>WINDOWS NT 4.0 Agg. WORKSTATION MICROSOFT</v>
      </c>
      <c r="F270" s="4" t="str">
        <f t="shared" si="14"/>
        <v>WINDOWS NT 4.0 Agg. WORKSTATION MICROSOFT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12"/>
        <v>290240</v>
      </c>
      <c r="E271" s="4" t="str">
        <f t="shared" si="13"/>
        <v>WINDOWS NT 4.0 SERVER 5 client MICROSOFT</v>
      </c>
      <c r="F271" s="4" t="str">
        <f t="shared" si="14"/>
        <v>WINDOWS NT 4.0 SERVER 5 client MICROSOFT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12"/>
        <v>30880</v>
      </c>
      <c r="E272" s="4" t="str">
        <f t="shared" si="13"/>
        <v>WINDOWS 3.1 MICROSOFT</v>
      </c>
      <c r="F272" s="4" t="str">
        <f t="shared" si="14"/>
        <v>WINDOWS 3.1 MICROSOFT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12"/>
        <v>104640</v>
      </c>
      <c r="E273" s="4" t="str">
        <f t="shared" si="13"/>
        <v>POWERPOINT 4.0 MICROSOFT</v>
      </c>
      <c r="F273" s="4" t="str">
        <f t="shared" si="14"/>
        <v>POWERPOINT 4.0 MICROSOFT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12"/>
        <v>116640</v>
      </c>
      <c r="E274" s="4" t="str">
        <f t="shared" si="13"/>
        <v>EXCEL 5.0 MICROSOFT</v>
      </c>
      <c r="F274" s="4" t="str">
        <f t="shared" si="14"/>
        <v>EXCEL 5.0 MICROSOFT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12"/>
        <v>101120</v>
      </c>
      <c r="E275" s="4" t="str">
        <f t="shared" si="13"/>
        <v>ACCESS 2.0 MICROSOFT</v>
      </c>
      <c r="F275" s="4" t="str">
        <f t="shared" si="14"/>
        <v>ACCESS 2.0 MICROSOFT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12"/>
        <v>38400</v>
      </c>
      <c r="E276" s="4" t="str">
        <f t="shared" si="13"/>
        <v>ACCESS 2.0 Competitivo MICROSOFT</v>
      </c>
      <c r="F276" s="4" t="str">
        <f t="shared" si="14"/>
        <v>ACCESS 2.0 Competitivo MICROSOFT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12"/>
        <v>152800</v>
      </c>
      <c r="E277" s="4" t="str">
        <f t="shared" si="13"/>
        <v xml:space="preserve">OFFICE 4.2 MICROSOFT </v>
      </c>
      <c r="F277" s="4" t="str">
        <f t="shared" si="14"/>
        <v xml:space="preserve">OFFICE 4.2 MICROSOFT 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12"/>
        <v>180160</v>
      </c>
      <c r="E278" s="4" t="str">
        <f t="shared" si="13"/>
        <v xml:space="preserve">OFFICE 4.3 PROFESSIONAL MICROSOFT </v>
      </c>
      <c r="F278" s="4" t="str">
        <f t="shared" si="14"/>
        <v xml:space="preserve">OFFICE 4.3 PROFESSIONAL MICROSOFT 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>
        <f t="shared" si="12"/>
        <v>0</v>
      </c>
      <c r="E279" s="4" t="str">
        <f t="shared" si="13"/>
        <v xml:space="preserve">STAMPANTI </v>
      </c>
      <c r="F279" s="4" t="str">
        <f t="shared" si="14"/>
        <v xml:space="preserve">STAMPANTI 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12"/>
        <v>47520</v>
      </c>
      <c r="E280" s="4" t="str">
        <f t="shared" si="13"/>
        <v>STAMP.EPSON LX300 9 aghi, 80 col. 220 cps. opz. colore</v>
      </c>
      <c r="F280" s="4" t="str">
        <f t="shared" si="14"/>
        <v>STAMP.EPSON LX300 9 aghi, 80 col. 220 cps. opz. colore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12"/>
        <v>103360</v>
      </c>
      <c r="E281" s="4" t="str">
        <f t="shared" si="13"/>
        <v>STAMP.EPSON LX1050+ 9 aghi, 136 col. 200 cps</v>
      </c>
      <c r="F281" s="4" t="str">
        <f t="shared" si="14"/>
        <v>STAMP.EPSON LX1050+ 9 aghi, 136 col. 200 cps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12"/>
        <v>114240</v>
      </c>
      <c r="E282" s="4" t="str">
        <f t="shared" si="13"/>
        <v>STAMP.EPSON FX870 9 aghi, 80 col. 380 cps</v>
      </c>
      <c r="F282" s="4" t="str">
        <f t="shared" si="14"/>
        <v>STAMP.EPSON FX870 9 aghi, 80 col. 380 cps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12"/>
        <v>129120</v>
      </c>
      <c r="E283" s="4" t="str">
        <f t="shared" si="13"/>
        <v>STAMP.EPSON FX1170 9 aghi, 136 col.380 cps</v>
      </c>
      <c r="F283" s="4" t="str">
        <f t="shared" si="14"/>
        <v>STAMP.EPSON FX1170 9 aghi, 136 col.380 cps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12"/>
        <v>94560</v>
      </c>
      <c r="E284" s="4" t="str">
        <f t="shared" si="13"/>
        <v>STAMP.EPSON LQ570+ 24 aghi, 80 col. 225 cps</v>
      </c>
      <c r="F284" s="4" t="str">
        <f t="shared" si="14"/>
        <v>STAMP.EPSON LQ570+ 24 aghi, 80 col. 225 cps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12"/>
        <v>146880</v>
      </c>
      <c r="E285" s="4" t="str">
        <f t="shared" si="13"/>
        <v>STAMP.EPSON LQ2070+ 24 aghi, 136 col. 225 cps</v>
      </c>
      <c r="F285" s="4" t="str">
        <f t="shared" si="14"/>
        <v>STAMP.EPSON LQ2070+ 24 aghi, 136 col. 225 cps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12"/>
        <v>202400</v>
      </c>
      <c r="E286" s="4" t="str">
        <f t="shared" si="13"/>
        <v>STAMP.EPSON LQ 2170 24 aghi, 136 col. 440 cps</v>
      </c>
      <c r="F286" s="4" t="str">
        <f t="shared" si="14"/>
        <v>STAMP.EPSON LQ 2170 24 aghi, 136 col. 440 cps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12"/>
        <v>40960</v>
      </c>
      <c r="E287" s="4" t="str">
        <f t="shared" si="13"/>
        <v>STAMP.EPSON STYLUS 300COLOR Ink Jet A4,1ppm col.</v>
      </c>
      <c r="F287" s="4" t="str">
        <f t="shared" si="14"/>
        <v>STAMP.EPSON STYLUS 300COLOR Ink Jet A4,1ppm col.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12"/>
        <v>59360</v>
      </c>
      <c r="E288" s="4" t="str">
        <f t="shared" si="13"/>
        <v>STAMP.EPSON STYLUS 400COLOR Ink Jet A4,3ppm col.</v>
      </c>
      <c r="F288" s="4" t="str">
        <f t="shared" si="14"/>
        <v>STAMP.EPSON STYLUS 400COLOR Ink Jet A4,3ppm col.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12"/>
        <v>73120</v>
      </c>
      <c r="E289" s="4" t="str">
        <f t="shared" si="13"/>
        <v>STAMP.EPSON STYLUS 600COLOR Ink Jet A4,4ppm col.</v>
      </c>
      <c r="F289" s="4" t="str">
        <f t="shared" si="14"/>
        <v>STAMP.EPSON STYLUS 600COLOR Ink Jet A4,4ppm col.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12"/>
        <v>102720</v>
      </c>
      <c r="E290" s="4" t="str">
        <f t="shared" si="13"/>
        <v>STAMP.EPSON STYLUS 800COLOR Ink Jet A4,7ppm col.</v>
      </c>
      <c r="F290" s="4" t="str">
        <f t="shared" si="14"/>
        <v>STAMP.EPSON STYLUS 800COLOR Ink Jet A4,7ppm col.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12"/>
        <v>251360</v>
      </c>
      <c r="E291" s="4" t="str">
        <f t="shared" si="13"/>
        <v>STAMP.EPSON STYLUS 1520COLOR Ink Jet A2,800cps draft</v>
      </c>
      <c r="F291" s="4" t="str">
        <f t="shared" si="14"/>
        <v>STAMP.EPSON STYLUS 1520COLOR Ink Jet A2,800cps draft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12"/>
        <v>120960</v>
      </c>
      <c r="E292" s="4" t="str">
        <f t="shared" si="13"/>
        <v>STAMP.EPSON STYLUS 1000 Ink Jet A3,250cps draft</v>
      </c>
      <c r="F292" s="4" t="str">
        <f t="shared" si="14"/>
        <v>STAMP.EPSON STYLUS 1000 Ink Jet A3,250cps draft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12"/>
        <v>251360</v>
      </c>
      <c r="E293" s="4" t="str">
        <f t="shared" si="13"/>
        <v>STAMP.EPSON STYLUS PRO XL+ Ink Jet A4/A3</v>
      </c>
      <c r="F293" s="4" t="str">
        <f t="shared" si="14"/>
        <v>STAMP.EPSON STYLUS PRO XL+ Ink Jet A4/A3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12"/>
        <v>434560</v>
      </c>
      <c r="E294" s="4" t="str">
        <f t="shared" si="13"/>
        <v xml:space="preserve">STAMP.EPSON STYLUS  3000 Ink Jet A2 800cpc 1440*720 dpi </v>
      </c>
      <c r="F294" s="4" t="str">
        <f t="shared" si="14"/>
        <v xml:space="preserve">STAMP.EPSON STYLUS  3000 Ink Jet A2 800cpc 1440*720 dpi 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12"/>
        <v>102400</v>
      </c>
      <c r="E295" s="4" t="str">
        <f t="shared" si="13"/>
        <v xml:space="preserve">STAMP.EPSON STYLUS PHOTO Ink Jet A4 6 colori 2ppm </v>
      </c>
      <c r="F295" s="4" t="str">
        <f t="shared" si="14"/>
        <v xml:space="preserve">STAMP.EPSON STYLUS PHOTO Ink Jet A4 6 colori 2ppm 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12"/>
        <v>40800</v>
      </c>
      <c r="E296" s="4" t="str">
        <f t="shared" si="13"/>
        <v>STAMP. CANON BJ-250 COLOR Ink Jet A4, 1ppm col</v>
      </c>
      <c r="F296" s="4" t="str">
        <f t="shared" si="14"/>
        <v>STAMP. CANON BJ-250 COLOR Ink Jet A4, 1ppm col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12"/>
        <v>66080</v>
      </c>
      <c r="E297" s="4" t="str">
        <f t="shared" si="13"/>
        <v>STAMP. CANON BJC-80 COLOR Ink jet A4, 2ppm col.</v>
      </c>
      <c r="F297" s="4" t="str">
        <f t="shared" si="14"/>
        <v>STAMP. CANON BJC-80 COLOR Ink jet A4, 2ppm col.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12"/>
        <v>57760</v>
      </c>
      <c r="E298" s="4" t="str">
        <f t="shared" si="13"/>
        <v>STAMP. CANON BJC-4300 COLOR Ink Jet A4, 1ppm col.</v>
      </c>
      <c r="F298" s="4" t="str">
        <f t="shared" si="14"/>
        <v>STAMP. CANON BJC-4300 COLOR Ink Jet A4, 1ppm col.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12"/>
        <v>87040</v>
      </c>
      <c r="E299" s="4" t="str">
        <f t="shared" si="13"/>
        <v>STAMP. CANON BJC-4550 COLOR Ink Jet A4/A3, 1 ppm</v>
      </c>
      <c r="F299" s="4" t="str">
        <f t="shared" si="14"/>
        <v>STAMP. CANON BJC-4550 COLOR Ink Jet A4/A3, 1 ppm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12"/>
        <v>108480</v>
      </c>
      <c r="E300" s="4" t="str">
        <f t="shared" si="13"/>
        <v>STAMP. CANON BJC-4650 COLOR Ink Jet A4/A3, 4,5 ppm</v>
      </c>
      <c r="F300" s="4" t="str">
        <f t="shared" si="14"/>
        <v>STAMP. CANON BJC-4650 COLOR Ink Jet A4/A3, 4,5 ppm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12"/>
        <v>168640</v>
      </c>
      <c r="E301" s="4" t="str">
        <f t="shared" si="13"/>
        <v>STAMP. CANON BJC-5500 COLOR Ink Jet A3/A2 694cps</v>
      </c>
      <c r="F301" s="4" t="str">
        <f t="shared" si="14"/>
        <v>STAMP. CANON BJC-5500 COLOR Ink Jet A3/A2 694cps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12"/>
        <v>77120</v>
      </c>
      <c r="E302" s="4" t="str">
        <f t="shared" si="13"/>
        <v>STAMP. CANON BJC-620 COLOR Ink Jet A4, 300cps</v>
      </c>
      <c r="F302" s="4" t="str">
        <f t="shared" si="14"/>
        <v>STAMP. CANON BJC-620 COLOR Ink Jet A4, 300cps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12"/>
        <v>115520</v>
      </c>
      <c r="E303" s="4" t="str">
        <f t="shared" si="13"/>
        <v>STAMP. CANON BJC-7000 COLOR Ink Jet A4,4,5ppm, 1200x600dpi</v>
      </c>
      <c r="F303" s="4" t="str">
        <f t="shared" si="14"/>
        <v>STAMP. CANON BJC-7000 COLOR Ink Jet A4,4,5ppm, 1200x600dpi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12"/>
        <v>43040</v>
      </c>
      <c r="E304" s="4" t="str">
        <f t="shared" si="13"/>
        <v>STAMP. HP 400L Ink Jet A4, 3 ppm col.</v>
      </c>
      <c r="F304" s="4" t="str">
        <f t="shared" si="14"/>
        <v>STAMP. HP 400L Ink Jet A4, 3 ppm col.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12"/>
        <v>59360</v>
      </c>
      <c r="E305" s="4" t="str">
        <f t="shared" si="13"/>
        <v>STAMP. HP 670 Ink Jet A4, 3 ppm col.</v>
      </c>
      <c r="F305" s="4" t="str">
        <f t="shared" si="14"/>
        <v>STAMP. HP 670 Ink Jet A4, 3 ppm col.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12"/>
        <v>73920</v>
      </c>
      <c r="E306" s="4" t="str">
        <f t="shared" si="13"/>
        <v>STAMP. HP 690+ Ink Jet A4,  5 ppm col.</v>
      </c>
      <c r="F306" s="4" t="str">
        <f t="shared" si="14"/>
        <v>STAMP. HP 690+ Ink Jet A4,  5 ppm col.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12"/>
        <v>86560</v>
      </c>
      <c r="E307" s="4" t="str">
        <f t="shared" si="13"/>
        <v>STAMP. HP 720C Ink Jet A4,  7 ppm col.</v>
      </c>
      <c r="F307" s="4" t="str">
        <f t="shared" si="14"/>
        <v>STAMP. HP 720C Ink Jet A4,  7 ppm col.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12"/>
        <v>103680</v>
      </c>
      <c r="E308" s="4" t="str">
        <f t="shared" si="13"/>
        <v>STAMP. HP 870 CXI Ink Jet A4,  8 ppm col.</v>
      </c>
      <c r="F308" s="4" t="str">
        <f t="shared" si="14"/>
        <v>STAMP. HP 870 CXI Ink Jet A4,  8 ppm col.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12"/>
        <v>103040</v>
      </c>
      <c r="E309" s="4" t="str">
        <f t="shared" si="13"/>
        <v>STAMP. HP 890C Ink Jet A4,  9 ppm col.</v>
      </c>
      <c r="F309" s="4" t="str">
        <f t="shared" si="14"/>
        <v>STAMP. HP 890C Ink Jet A4,  9 ppm col.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12"/>
        <v>144320</v>
      </c>
      <c r="E310" s="4" t="str">
        <f t="shared" si="13"/>
        <v>STAMP. HP 1100C Ink Jet A3/A4,  6 ppm col., 2Mb</v>
      </c>
      <c r="F310" s="4" t="str">
        <f t="shared" si="14"/>
        <v>STAMP. HP 1100C Ink Jet A3/A4,  6 ppm col., 2Mb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12"/>
        <v>115520</v>
      </c>
      <c r="E311" s="4" t="str">
        <f t="shared" si="13"/>
        <v>STAMP. HP 6L Laser, A4 600dpi, 6ppm</v>
      </c>
      <c r="F311" s="4" t="str">
        <f t="shared" si="14"/>
        <v>STAMP. HP 6L Laser, A4 600dpi, 6ppm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12"/>
        <v>233120</v>
      </c>
      <c r="E312" s="4" t="str">
        <f t="shared" si="13"/>
        <v>STAMP. HP 6P Laser, A4 600dpi, 6ppm</v>
      </c>
      <c r="F312" s="4" t="str">
        <f t="shared" si="14"/>
        <v>STAMP. HP 6P Laser, A4 600dpi, 6ppm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12"/>
        <v>285760</v>
      </c>
      <c r="E313" s="4" t="str">
        <f t="shared" si="13"/>
        <v>STAMP. HP 6MP Laser, A4 600dpi, 8ppm, 3Mb</v>
      </c>
      <c r="F313" s="4" t="str">
        <f t="shared" si="14"/>
        <v>STAMP. HP 6MP Laser, A4 600dpi, 8ppm, 3Mb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>
        <f t="shared" si="12"/>
        <v>0</v>
      </c>
      <c r="E314" s="4" t="str">
        <f t="shared" si="13"/>
        <v xml:space="preserve">CABINATI  </v>
      </c>
      <c r="F314" s="4" t="str">
        <f t="shared" si="14"/>
        <v xml:space="preserve">CABINATI  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12"/>
        <v>13600</v>
      </c>
      <c r="E315" s="4" t="str">
        <f t="shared" si="13"/>
        <v>CASE DESKTOP   CE CK 131-6 P/S 200W</v>
      </c>
      <c r="F315" s="4" t="str">
        <f t="shared" si="14"/>
        <v>CASE DESKTOP   CE CK 131-6 P/S 200W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12"/>
        <v>13440</v>
      </c>
      <c r="E316" s="4" t="str">
        <f t="shared" si="13"/>
        <v>CASE MINITOWER CE CK 136-1 P/S 200W</v>
      </c>
      <c r="F316" s="4" t="str">
        <f t="shared" si="14"/>
        <v>CASE MINITOWER CE CK 136-1 P/S 200W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12"/>
        <v>18400</v>
      </c>
      <c r="E317" s="4" t="str">
        <f t="shared" si="13"/>
        <v xml:space="preserve">CASE MIDITOWER CE CK 135-1 P/S 230W </v>
      </c>
      <c r="F317" s="4" t="str">
        <f t="shared" si="14"/>
        <v xml:space="preserve">CASE MIDITOWER CE CK 135-1 P/S 230W 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12"/>
        <v>24320</v>
      </c>
      <c r="E318" s="4" t="str">
        <f t="shared" si="13"/>
        <v xml:space="preserve">CASE BIG TOWER CE   CK139-1 P/S 230W </v>
      </c>
      <c r="F318" s="4" t="str">
        <f t="shared" si="14"/>
        <v xml:space="preserve">CASE BIG TOWER CE   CK139-1 P/S 230W 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12"/>
        <v>13120</v>
      </c>
      <c r="E319" s="4" t="str">
        <f t="shared" si="13"/>
        <v>CASE DESKTOP CE CK 131-8 P/S 200W</v>
      </c>
      <c r="F319" s="4" t="str">
        <f t="shared" si="14"/>
        <v>CASE DESKTOP CE CK 131-8 P/S 200W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12"/>
        <v>13440</v>
      </c>
      <c r="E320" s="4" t="str">
        <f t="shared" si="13"/>
        <v>CASE SUB-MIDITOWER CE  CK 132-3 P/S 200W</v>
      </c>
      <c r="F320" s="4" t="str">
        <f t="shared" si="14"/>
        <v>CASE SUB-MIDITOWER CE  CK 132-3 P/S 200W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12"/>
        <v>18400</v>
      </c>
      <c r="E321" s="4" t="str">
        <f t="shared" si="13"/>
        <v>CASE  MIDITOWER CE  CK 135-2 P/S 230W</v>
      </c>
      <c r="F321" s="4" t="str">
        <f t="shared" si="14"/>
        <v>CASE  MIDITOWER CE  CK 135-2 P/S 230W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12"/>
        <v>24480</v>
      </c>
      <c r="E322" s="4" t="str">
        <f t="shared" si="13"/>
        <v>CASE TOWER CE CK 139-2 P/S 230W</v>
      </c>
      <c r="F322" s="4" t="str">
        <f t="shared" si="14"/>
        <v>CASE TOWER CE CK 139-2 P/S 230W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5">C323*0.16</f>
        <v>12800</v>
      </c>
      <c r="E323" s="4" t="str">
        <f t="shared" ref="E323:E337" si="16">CONCATENATE(A323," ",B323)</f>
        <v>CASE MIDITOWER BC VIP 432 P/S 230W</v>
      </c>
      <c r="F323" s="4" t="str">
        <f t="shared" ref="F323:F337" si="17">A323&amp;" "&amp;B323</f>
        <v>CASE MIDITOWER BC VIP 432 P/S 230W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5"/>
        <v>16320</v>
      </c>
      <c r="E324" s="4" t="str">
        <f t="shared" si="16"/>
        <v>CASE TOWER BC VIP 730 P/S 230W</v>
      </c>
      <c r="F324" s="4" t="str">
        <f t="shared" si="17"/>
        <v>CASE TOWER BC VIP 730 P/S 230W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>
        <f t="shared" si="15"/>
        <v>0</v>
      </c>
      <c r="E325" s="4" t="str">
        <f t="shared" si="16"/>
        <v xml:space="preserve">GRUPPI DI CONTINUITA' </v>
      </c>
      <c r="F325" s="4" t="str">
        <f t="shared" si="17"/>
        <v xml:space="preserve">GRUPPI DI CONTINUITA' 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5"/>
        <v>31680</v>
      </c>
      <c r="E326" s="4" t="str">
        <f t="shared" si="16"/>
        <v>GR.CONT.REVOLUTION E300  STAND- BY</v>
      </c>
      <c r="F326" s="4" t="str">
        <f t="shared" si="17"/>
        <v>GR.CONT.REVOLUTION E300  STAND- BY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5"/>
        <v>37280</v>
      </c>
      <c r="E327" s="4" t="str">
        <f t="shared" si="16"/>
        <v>GR.CONT.REVOLUTION F450 STAND- BY</v>
      </c>
      <c r="F327" s="4" t="str">
        <f t="shared" si="17"/>
        <v>GR.CONT.REVOLUTION F450 STAND- BY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5"/>
        <v>44640</v>
      </c>
      <c r="E328" s="4" t="str">
        <f t="shared" si="16"/>
        <v>GR.CONT.REVOLUTION L600 STAND- BY</v>
      </c>
      <c r="F328" s="4" t="str">
        <f t="shared" si="17"/>
        <v>GR.CONT.REVOLUTION L600 STAND- BY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5"/>
        <v>47680</v>
      </c>
      <c r="E329" s="4" t="str">
        <f t="shared" si="16"/>
        <v>GR.CONT.POWER PRO 600 LINE INTERACTIVE</v>
      </c>
      <c r="F329" s="4" t="str">
        <f t="shared" si="17"/>
        <v>GR.CONT.POWER PRO 600 LINE INTERACTIVE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5"/>
        <v>76480</v>
      </c>
      <c r="E330" s="4" t="str">
        <f t="shared" si="16"/>
        <v>GR.CONT.POWER PRO 750 LINE INTERACTIVE</v>
      </c>
      <c r="F330" s="4" t="str">
        <f t="shared" si="17"/>
        <v>GR.CONT.POWER PRO 750 LINE INTERACTIVE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5"/>
        <v>100160</v>
      </c>
      <c r="E331" s="4" t="str">
        <f t="shared" si="16"/>
        <v>GR.CONT.POWER PRO 900 LINE INTERACTIVE</v>
      </c>
      <c r="F331" s="4" t="str">
        <f t="shared" si="17"/>
        <v>GR.CONT.POWER PRO 900 LINE INTERACTIVE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5"/>
        <v>121120</v>
      </c>
      <c r="E332" s="4" t="str">
        <f t="shared" si="16"/>
        <v>GR.CONT.POWER PRO 1000 LINE INTERACTIVE</v>
      </c>
      <c r="F332" s="4" t="str">
        <f t="shared" si="17"/>
        <v>GR.CONT.POWER PRO 1000 LINE INTERACTIVE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5"/>
        <v>180480</v>
      </c>
      <c r="E333" s="4" t="str">
        <f t="shared" si="16"/>
        <v>GR.CONT.POWER PRO 1600 LINE INTERACTIVE</v>
      </c>
      <c r="F333" s="4" t="str">
        <f t="shared" si="17"/>
        <v>GR.CONT.POWER PRO 1600 LINE INTERACTIVE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5"/>
        <v>244320</v>
      </c>
      <c r="E334" s="4" t="str">
        <f t="shared" si="16"/>
        <v>GR.CONT.POWER PRO 2400 LINE INTERACTIVE</v>
      </c>
      <c r="F334" s="4" t="str">
        <f t="shared" si="17"/>
        <v>GR.CONT.POWER PRO 2400 LINE INTERACTIVE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5"/>
        <v>661440</v>
      </c>
      <c r="E335" s="4" t="str">
        <f t="shared" si="16"/>
        <v>GR.CONT.POWERSAVE 4000 ON-LINE</v>
      </c>
      <c r="F335" s="4" t="str">
        <f t="shared" si="17"/>
        <v>GR.CONT.POWERSAVE 4000 ON-LINE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5"/>
        <v>1096000</v>
      </c>
      <c r="E336" s="4" t="str">
        <f t="shared" si="16"/>
        <v>GR.CONT.POWERSAVE 7500 ON-LINE</v>
      </c>
      <c r="F336" s="4" t="str">
        <f t="shared" si="17"/>
        <v>GR.CONT.POWERSAVE 7500 ON-LINE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5"/>
        <v>1873920</v>
      </c>
      <c r="E337" s="4" t="str">
        <f t="shared" si="16"/>
        <v>GR.CONT.POWERSAVE 12500 ON-LINE</v>
      </c>
      <c r="F337" s="4" t="str">
        <f t="shared" si="17"/>
        <v>GR.CONT.POWERSAVE 12500 ON-LINE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C3" sqref="C3"/>
    </sheetView>
  </sheetViews>
  <sheetFormatPr defaultColWidth="14.3984375" defaultRowHeight="15" customHeight="1" x14ac:dyDescent="0.3"/>
  <cols>
    <col min="1" max="1" width="16.296875" customWidth="1"/>
    <col min="2" max="2" width="18.59765625" customWidth="1"/>
    <col min="3" max="3" width="19.296875" customWidth="1"/>
    <col min="4" max="4" width="14" customWidth="1"/>
    <col min="5" max="5" width="5" bestFit="1" customWidth="1"/>
    <col min="6" max="6" width="9.59765625" bestFit="1" customWidth="1"/>
    <col min="7" max="7" width="14.296875" customWidth="1"/>
    <col min="8" max="8" width="8" customWidth="1"/>
    <col min="9" max="26" width="9.296875" customWidth="1"/>
  </cols>
  <sheetData>
    <row r="1" spans="1:26" ht="12.75" customHeight="1" x14ac:dyDescent="0.3">
      <c r="A1" s="6" t="s">
        <v>484</v>
      </c>
      <c r="B1" s="6" t="s">
        <v>485</v>
      </c>
      <c r="C1" s="6"/>
      <c r="D1" s="4"/>
      <c r="E1" s="16" t="s">
        <v>571</v>
      </c>
      <c r="F1" s="16" t="s">
        <v>572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7" t="s">
        <v>486</v>
      </c>
      <c r="B2" s="7">
        <v>40</v>
      </c>
      <c r="C2" s="7" t="str">
        <f>VLOOKUP(B2,E:F,2,FALSE)</f>
        <v>sufficiente</v>
      </c>
      <c r="D2" s="8"/>
      <c r="E2" s="8">
        <v>0</v>
      </c>
      <c r="F2" s="17" t="s">
        <v>573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7" t="s">
        <v>487</v>
      </c>
      <c r="B3" s="7">
        <v>60</v>
      </c>
      <c r="C3" s="7" t="str">
        <f>VLOOKUP(Table_1[[#This Row],[Column2]],E:F,2,FALSE)</f>
        <v>discreto</v>
      </c>
      <c r="E3" s="8">
        <v>40</v>
      </c>
      <c r="F3" s="17" t="s">
        <v>574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7" t="s">
        <v>488</v>
      </c>
      <c r="B4" s="7">
        <v>60</v>
      </c>
      <c r="C4" s="7" t="str">
        <f>VLOOKUP(Table_1[[#This Row],[Column2]],E:F,2,FALSE)</f>
        <v>discreto</v>
      </c>
      <c r="E4" s="8">
        <v>60</v>
      </c>
      <c r="F4" s="17" t="s">
        <v>575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7" t="s">
        <v>489</v>
      </c>
      <c r="B5" s="7">
        <v>40</v>
      </c>
      <c r="C5" s="7" t="str">
        <f>VLOOKUP(Table_1[[#This Row],[Column2]],E:F,2,FALSE)</f>
        <v>sufficiente</v>
      </c>
      <c r="E5" s="8">
        <v>70</v>
      </c>
      <c r="F5" s="17" t="s">
        <v>576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7" t="s">
        <v>490</v>
      </c>
      <c r="B6" s="7">
        <v>70</v>
      </c>
      <c r="C6" s="7" t="str">
        <f>VLOOKUP(Table_1[[#This Row],[Column2]],E:F,2,FALSE)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" t="s">
        <v>491</v>
      </c>
      <c r="B7" s="7">
        <v>0</v>
      </c>
      <c r="C7" s="7" t="str">
        <f>VLOOKUP(Table_1[[#This Row],[Column2]],E:F,2,FALSE)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7" t="s">
        <v>492</v>
      </c>
      <c r="B8" s="7">
        <v>0</v>
      </c>
      <c r="C8" s="7" t="str">
        <f>VLOOKUP(Table_1[[#This Row],[Column2]],E:F,2,FALSE)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topLeftCell="L1" workbookViewId="0">
      <selection activeCell="W12" sqref="W12"/>
    </sheetView>
  </sheetViews>
  <sheetFormatPr defaultColWidth="14.3984375" defaultRowHeight="15" customHeight="1" x14ac:dyDescent="0.3"/>
  <cols>
    <col min="1" max="1" width="9.8984375" customWidth="1"/>
    <col min="2" max="2" width="28.296875" customWidth="1"/>
    <col min="3" max="3" width="21.296875" customWidth="1"/>
    <col min="4" max="4" width="18" customWidth="1"/>
    <col min="5" max="5" width="21.69921875" customWidth="1"/>
    <col min="6" max="6" width="3.69921875" customWidth="1"/>
    <col min="7" max="7" width="2.3984375" customWidth="1"/>
    <col min="8" max="8" width="13.296875" bestFit="1" customWidth="1"/>
    <col min="9" max="11" width="8.69921875" customWidth="1"/>
    <col min="12" max="12" width="29.19921875" bestFit="1" customWidth="1"/>
    <col min="13" max="13" width="18.19921875" bestFit="1" customWidth="1"/>
    <col min="14" max="14" width="8.69921875" customWidth="1"/>
    <col min="15" max="15" width="29.19921875" bestFit="1" customWidth="1"/>
    <col min="16" max="16" width="13" bestFit="1" customWidth="1"/>
    <col min="17" max="17" width="8.69921875" customWidth="1"/>
    <col min="18" max="18" width="29.19921875" bestFit="1" customWidth="1"/>
    <col min="20" max="20" width="13" bestFit="1" customWidth="1"/>
    <col min="21" max="24" width="8.69921875" customWidth="1"/>
  </cols>
  <sheetData>
    <row r="1" spans="1:24" ht="13.5" customHeight="1" x14ac:dyDescent="0.4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/>
      <c r="H1" s="11"/>
      <c r="I1" s="11"/>
      <c r="J1" s="11"/>
      <c r="K1" s="11"/>
      <c r="L1" s="19" t="s">
        <v>577</v>
      </c>
      <c r="M1" s="19" t="s">
        <v>578</v>
      </c>
      <c r="N1" s="11"/>
      <c r="O1" s="11" t="s">
        <v>580</v>
      </c>
      <c r="P1" s="11" t="s">
        <v>579</v>
      </c>
      <c r="Q1" s="11"/>
      <c r="R1" s="11" t="s">
        <v>581</v>
      </c>
      <c r="S1" s="11" t="s">
        <v>580</v>
      </c>
      <c r="T1" s="11" t="s">
        <v>579</v>
      </c>
      <c r="U1" s="11"/>
      <c r="V1" s="11"/>
      <c r="W1" s="11"/>
      <c r="X1" s="11"/>
    </row>
    <row r="2" spans="1:24" ht="13.5" customHeight="1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L2" s="13" t="s">
        <v>532</v>
      </c>
      <c r="M2">
        <f>COUNTIF(B:B,L2)</f>
        <v>2</v>
      </c>
      <c r="O2" s="18" t="s">
        <v>499</v>
      </c>
      <c r="P2" s="20">
        <f>SUMIFS($D:$D,$C:$C,O2)</f>
        <v>611780</v>
      </c>
      <c r="R2" s="13" t="s">
        <v>507</v>
      </c>
      <c r="S2" t="str">
        <f>_xlfn.XLOOKUP(R2,B:B,C:C)</f>
        <v>Assicurazione</v>
      </c>
      <c r="T2" s="20">
        <f t="shared" ref="T2:T8" si="0">SUMIFS($D:$D,$B:$B,R2)</f>
        <v>50800</v>
      </c>
    </row>
    <row r="3" spans="1:24" ht="13.5" customHeight="1" x14ac:dyDescent="0.3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H3" s="18" t="s">
        <v>499</v>
      </c>
      <c r="I3">
        <f>COUNTIF($C$2:$C$80,H3)</f>
        <v>11</v>
      </c>
      <c r="L3" s="13" t="s">
        <v>514</v>
      </c>
      <c r="M3">
        <f t="shared" ref="M3:M49" si="1">COUNTIF(B:B,L3)</f>
        <v>1</v>
      </c>
      <c r="O3" s="18" t="s">
        <v>558</v>
      </c>
      <c r="P3" s="20">
        <f t="shared" ref="P3:P5" si="2">SUMIFS($D:$D,$C:$C,O3)</f>
        <v>30860</v>
      </c>
      <c r="R3" s="13" t="s">
        <v>511</v>
      </c>
      <c r="S3" t="str">
        <f t="shared" ref="S3:S8" si="3">_xlfn.XLOOKUP(R3,B:B,C:C)</f>
        <v>Posta elettronica</v>
      </c>
      <c r="T3" s="20">
        <f t="shared" si="0"/>
        <v>7950</v>
      </c>
    </row>
    <row r="4" spans="1:24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H4" s="18" t="s">
        <v>558</v>
      </c>
      <c r="I4">
        <f t="shared" ref="I4:I6" si="4">COUNTIF($C$2:$C$80,H4)</f>
        <v>5</v>
      </c>
      <c r="L4" s="13" t="s">
        <v>526</v>
      </c>
      <c r="M4">
        <f t="shared" si="1"/>
        <v>3</v>
      </c>
      <c r="O4" s="18" t="s">
        <v>506</v>
      </c>
      <c r="P4" s="20">
        <f t="shared" si="2"/>
        <v>54000</v>
      </c>
      <c r="R4" s="13" t="s">
        <v>529</v>
      </c>
      <c r="S4" t="str">
        <f t="shared" si="3"/>
        <v>Viaggio d'affari: pasti</v>
      </c>
      <c r="T4" s="20">
        <f t="shared" si="0"/>
        <v>27270</v>
      </c>
    </row>
    <row r="5" spans="1:24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H5" s="18" t="s">
        <v>506</v>
      </c>
      <c r="I5">
        <f t="shared" si="4"/>
        <v>4</v>
      </c>
      <c r="L5" s="13" t="s">
        <v>520</v>
      </c>
      <c r="M5">
        <f t="shared" si="1"/>
        <v>1</v>
      </c>
      <c r="O5" s="18" t="s">
        <v>547</v>
      </c>
      <c r="P5" s="20">
        <f t="shared" si="2"/>
        <v>6765600</v>
      </c>
      <c r="R5" s="13" t="s">
        <v>525</v>
      </c>
      <c r="S5" t="str">
        <f t="shared" si="3"/>
        <v>Abbigliamento</v>
      </c>
      <c r="T5" s="20">
        <f t="shared" si="0"/>
        <v>283000</v>
      </c>
    </row>
    <row r="6" spans="1:24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H6" s="18" t="s">
        <v>547</v>
      </c>
      <c r="I6">
        <f t="shared" si="4"/>
        <v>4</v>
      </c>
      <c r="L6" s="13" t="s">
        <v>507</v>
      </c>
      <c r="M6">
        <f t="shared" si="1"/>
        <v>1</v>
      </c>
      <c r="O6" s="13"/>
      <c r="R6" s="13" t="s">
        <v>509</v>
      </c>
      <c r="S6" t="str">
        <f t="shared" si="3"/>
        <v>Ufficio</v>
      </c>
      <c r="T6" s="20">
        <f t="shared" si="0"/>
        <v>98450</v>
      </c>
    </row>
    <row r="7" spans="1:24" ht="13.5" customHeight="1" x14ac:dyDescent="0.3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L7" s="13" t="s">
        <v>511</v>
      </c>
      <c r="M7">
        <f t="shared" si="1"/>
        <v>1</v>
      </c>
      <c r="O7" s="13"/>
      <c r="R7" s="13" t="s">
        <v>528</v>
      </c>
      <c r="S7" t="str">
        <f t="shared" si="3"/>
        <v>Svago</v>
      </c>
      <c r="T7" s="20">
        <f t="shared" si="0"/>
        <v>107700</v>
      </c>
    </row>
    <row r="8" spans="1:24" ht="13.5" customHeight="1" x14ac:dyDescent="0.3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L8" s="13" t="s">
        <v>522</v>
      </c>
      <c r="M8">
        <f t="shared" si="1"/>
        <v>1</v>
      </c>
      <c r="O8" s="13"/>
      <c r="R8" s="13" t="s">
        <v>501</v>
      </c>
      <c r="S8" t="str">
        <f t="shared" si="3"/>
        <v>Svago</v>
      </c>
      <c r="T8" s="20">
        <f t="shared" si="0"/>
        <v>73450</v>
      </c>
    </row>
    <row r="9" spans="1:24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L9" s="13" t="s">
        <v>539</v>
      </c>
      <c r="M9">
        <f t="shared" si="1"/>
        <v>1</v>
      </c>
      <c r="O9" s="13"/>
      <c r="R9" s="13"/>
      <c r="T9" s="20"/>
    </row>
    <row r="10" spans="1:24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L10" s="13" t="s">
        <v>538</v>
      </c>
      <c r="M10">
        <f t="shared" si="1"/>
        <v>2</v>
      </c>
      <c r="O10" s="13"/>
      <c r="R10" s="13"/>
      <c r="T10" s="20"/>
    </row>
    <row r="11" spans="1:24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L11" s="13" t="s">
        <v>542</v>
      </c>
      <c r="M11">
        <f t="shared" si="1"/>
        <v>2</v>
      </c>
      <c r="O11" s="13"/>
      <c r="R11" s="13"/>
      <c r="T11" s="20"/>
    </row>
    <row r="12" spans="1:24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L12" s="13" t="s">
        <v>565</v>
      </c>
      <c r="M12">
        <f t="shared" si="1"/>
        <v>1</v>
      </c>
      <c r="O12" s="13"/>
      <c r="R12" s="13"/>
      <c r="T12" s="20"/>
    </row>
    <row r="13" spans="1:24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L13" s="13" t="s">
        <v>505</v>
      </c>
      <c r="M13">
        <f t="shared" si="1"/>
        <v>4</v>
      </c>
      <c r="O13" s="13"/>
      <c r="R13" s="13"/>
      <c r="T13" s="20"/>
    </row>
    <row r="14" spans="1:24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L14" s="13" t="s">
        <v>563</v>
      </c>
      <c r="M14">
        <f t="shared" si="1"/>
        <v>1</v>
      </c>
      <c r="O14" s="13"/>
      <c r="R14" s="13"/>
      <c r="T14" s="20"/>
    </row>
    <row r="15" spans="1:24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L15" s="13" t="s">
        <v>529</v>
      </c>
      <c r="M15">
        <f t="shared" si="1"/>
        <v>1</v>
      </c>
      <c r="O15" s="13"/>
      <c r="R15" s="13"/>
      <c r="T15" s="20"/>
    </row>
    <row r="16" spans="1:24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  <c r="L16" s="13" t="s">
        <v>525</v>
      </c>
      <c r="M16">
        <f t="shared" si="1"/>
        <v>4</v>
      </c>
      <c r="O16" s="13"/>
      <c r="R16" s="13"/>
      <c r="T16" s="20"/>
    </row>
    <row r="17" spans="1:20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  <c r="L17" s="13" t="s">
        <v>566</v>
      </c>
      <c r="M17">
        <f t="shared" si="1"/>
        <v>1</v>
      </c>
      <c r="O17" s="13"/>
      <c r="R17" s="13"/>
      <c r="T17" s="20"/>
    </row>
    <row r="18" spans="1:20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  <c r="L18" s="13" t="s">
        <v>548</v>
      </c>
      <c r="M18">
        <f t="shared" si="1"/>
        <v>3</v>
      </c>
      <c r="O18" s="13"/>
      <c r="R18" s="13"/>
      <c r="T18" s="20"/>
    </row>
    <row r="19" spans="1:20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  <c r="L19" s="13" t="s">
        <v>509</v>
      </c>
      <c r="M19">
        <f t="shared" si="1"/>
        <v>1</v>
      </c>
      <c r="O19" s="13"/>
      <c r="R19" s="13"/>
      <c r="T19" s="20"/>
    </row>
    <row r="20" spans="1:20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  <c r="L20" s="13" t="s">
        <v>536</v>
      </c>
      <c r="M20">
        <f t="shared" si="1"/>
        <v>1</v>
      </c>
      <c r="O20" s="13"/>
      <c r="R20" s="13"/>
      <c r="T20" s="20"/>
    </row>
    <row r="21" spans="1:20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  <c r="L21" s="13" t="s">
        <v>564</v>
      </c>
      <c r="M21">
        <f t="shared" si="1"/>
        <v>1</v>
      </c>
      <c r="O21" s="13"/>
      <c r="R21" s="13"/>
      <c r="T21" s="20"/>
    </row>
    <row r="22" spans="1:20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  <c r="L22" s="13" t="s">
        <v>534</v>
      </c>
      <c r="M22">
        <f t="shared" si="1"/>
        <v>1</v>
      </c>
      <c r="O22" s="13"/>
      <c r="R22" s="13"/>
      <c r="T22" s="20"/>
    </row>
    <row r="23" spans="1:20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  <c r="L23" s="13" t="s">
        <v>500</v>
      </c>
      <c r="M23">
        <f t="shared" si="1"/>
        <v>1</v>
      </c>
      <c r="O23" s="13"/>
      <c r="R23" s="13"/>
      <c r="T23" s="20"/>
    </row>
    <row r="24" spans="1:20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  <c r="L24" s="13" t="s">
        <v>544</v>
      </c>
      <c r="M24">
        <f t="shared" si="1"/>
        <v>1</v>
      </c>
      <c r="O24" s="13"/>
      <c r="R24" s="13"/>
      <c r="T24" s="20"/>
    </row>
    <row r="25" spans="1:20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  <c r="L25" s="13" t="s">
        <v>519</v>
      </c>
      <c r="M25">
        <f t="shared" si="1"/>
        <v>2</v>
      </c>
      <c r="O25" s="13"/>
      <c r="R25" s="13"/>
      <c r="T25" s="20"/>
    </row>
    <row r="26" spans="1:20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  <c r="L26" s="13" t="s">
        <v>549</v>
      </c>
      <c r="M26">
        <f t="shared" si="1"/>
        <v>1</v>
      </c>
      <c r="O26" s="13"/>
      <c r="R26" s="13"/>
      <c r="T26" s="20"/>
    </row>
    <row r="27" spans="1:20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  <c r="L27" s="13" t="s">
        <v>541</v>
      </c>
      <c r="M27">
        <f t="shared" si="1"/>
        <v>1</v>
      </c>
      <c r="O27" s="13"/>
      <c r="R27" s="13"/>
      <c r="T27" s="20"/>
    </row>
    <row r="28" spans="1:20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  <c r="L28" s="13" t="s">
        <v>533</v>
      </c>
      <c r="M28">
        <f t="shared" si="1"/>
        <v>2</v>
      </c>
      <c r="O28" s="13"/>
      <c r="R28" s="13"/>
      <c r="T28" s="20"/>
    </row>
    <row r="29" spans="1:20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  <c r="L29" s="13" t="s">
        <v>537</v>
      </c>
      <c r="M29">
        <f t="shared" si="1"/>
        <v>1</v>
      </c>
      <c r="O29" s="13"/>
      <c r="R29" s="13"/>
      <c r="T29" s="20"/>
    </row>
    <row r="30" spans="1:20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  <c r="L30" s="13" t="s">
        <v>550</v>
      </c>
      <c r="M30">
        <f t="shared" si="1"/>
        <v>1</v>
      </c>
      <c r="O30" s="13"/>
      <c r="R30" s="13"/>
      <c r="T30" s="20"/>
    </row>
    <row r="31" spans="1:20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  <c r="L31" s="13" t="s">
        <v>523</v>
      </c>
      <c r="M31">
        <f t="shared" si="1"/>
        <v>1</v>
      </c>
      <c r="O31" s="13"/>
      <c r="R31" s="13"/>
      <c r="T31" s="20"/>
    </row>
    <row r="32" spans="1:20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  <c r="L32" s="13" t="s">
        <v>555</v>
      </c>
      <c r="M32">
        <f t="shared" si="1"/>
        <v>1</v>
      </c>
      <c r="O32" s="13"/>
      <c r="R32" s="13"/>
      <c r="T32" s="20"/>
    </row>
    <row r="33" spans="1:20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  <c r="L33" s="13" t="s">
        <v>513</v>
      </c>
      <c r="M33">
        <f t="shared" si="1"/>
        <v>1</v>
      </c>
      <c r="O33" s="13"/>
      <c r="R33" s="13"/>
      <c r="T33" s="20"/>
    </row>
    <row r="34" spans="1:20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  <c r="L34" s="13" t="s">
        <v>531</v>
      </c>
      <c r="M34">
        <f t="shared" si="1"/>
        <v>3</v>
      </c>
      <c r="O34" s="13"/>
      <c r="R34" s="13"/>
      <c r="T34" s="20"/>
    </row>
    <row r="35" spans="1:20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  <c r="L35" s="13" t="s">
        <v>554</v>
      </c>
      <c r="M35">
        <f t="shared" si="1"/>
        <v>1</v>
      </c>
      <c r="O35" s="13"/>
      <c r="R35" s="13"/>
      <c r="T35" s="20"/>
    </row>
    <row r="36" spans="1:20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  <c r="L36" s="13" t="s">
        <v>528</v>
      </c>
      <c r="M36">
        <f t="shared" si="1"/>
        <v>2</v>
      </c>
      <c r="O36" s="13"/>
      <c r="R36" s="13"/>
      <c r="T36" s="20"/>
    </row>
    <row r="37" spans="1:20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  <c r="L37" s="13" t="s">
        <v>552</v>
      </c>
      <c r="M37">
        <f t="shared" si="1"/>
        <v>2</v>
      </c>
      <c r="O37" s="13"/>
      <c r="R37" s="13"/>
      <c r="T37" s="20"/>
    </row>
    <row r="38" spans="1:20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  <c r="L38" s="13" t="s">
        <v>498</v>
      </c>
      <c r="M38">
        <f t="shared" si="1"/>
        <v>2</v>
      </c>
      <c r="O38" s="13"/>
      <c r="R38" s="13"/>
      <c r="T38" s="20"/>
    </row>
    <row r="39" spans="1:20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  <c r="L39" s="13" t="s">
        <v>503</v>
      </c>
      <c r="M39">
        <f t="shared" si="1"/>
        <v>3</v>
      </c>
      <c r="O39" s="13"/>
      <c r="R39" s="13"/>
      <c r="T39" s="20"/>
    </row>
    <row r="40" spans="1:20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  <c r="L40" s="13" t="s">
        <v>568</v>
      </c>
      <c r="M40">
        <f t="shared" si="1"/>
        <v>1</v>
      </c>
      <c r="O40" s="13"/>
      <c r="R40" s="13"/>
      <c r="T40" s="20"/>
    </row>
    <row r="41" spans="1:20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  <c r="L41" s="13" t="s">
        <v>557</v>
      </c>
      <c r="M41">
        <f t="shared" si="1"/>
        <v>2</v>
      </c>
      <c r="O41" s="13"/>
      <c r="R41" s="13"/>
      <c r="T41" s="20"/>
    </row>
    <row r="42" spans="1:20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  <c r="L42" s="13" t="s">
        <v>559</v>
      </c>
      <c r="M42">
        <f t="shared" si="1"/>
        <v>1</v>
      </c>
      <c r="O42" s="13"/>
      <c r="R42" s="13"/>
      <c r="T42" s="20"/>
    </row>
    <row r="43" spans="1:20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  <c r="L43" s="13" t="s">
        <v>517</v>
      </c>
      <c r="M43">
        <f t="shared" si="1"/>
        <v>2</v>
      </c>
      <c r="O43" s="13"/>
      <c r="R43" s="13"/>
      <c r="T43" s="20"/>
    </row>
    <row r="44" spans="1:20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  <c r="L44" s="13" t="s">
        <v>553</v>
      </c>
      <c r="M44">
        <f t="shared" si="1"/>
        <v>2</v>
      </c>
      <c r="O44" s="13"/>
      <c r="R44" s="13"/>
      <c r="T44" s="20"/>
    </row>
    <row r="45" spans="1:20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  <c r="L45" s="13" t="s">
        <v>546</v>
      </c>
      <c r="M45">
        <f t="shared" si="1"/>
        <v>3</v>
      </c>
      <c r="O45" s="13"/>
      <c r="R45" s="13"/>
      <c r="T45" s="20"/>
    </row>
    <row r="46" spans="1:20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  <c r="L46" s="13" t="s">
        <v>561</v>
      </c>
      <c r="M46">
        <f t="shared" si="1"/>
        <v>2</v>
      </c>
      <c r="O46" s="13"/>
      <c r="R46" s="13"/>
      <c r="T46" s="20"/>
    </row>
    <row r="47" spans="1:20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  <c r="L47" s="13" t="s">
        <v>560</v>
      </c>
      <c r="M47">
        <f t="shared" si="1"/>
        <v>2</v>
      </c>
      <c r="O47" s="13"/>
      <c r="R47" s="13"/>
      <c r="T47" s="20"/>
    </row>
    <row r="48" spans="1:20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  <c r="L48" s="13" t="s">
        <v>567</v>
      </c>
      <c r="M48">
        <f t="shared" si="1"/>
        <v>2</v>
      </c>
      <c r="O48" s="13"/>
      <c r="R48" s="13"/>
      <c r="T48" s="20"/>
    </row>
    <row r="49" spans="1:20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  <c r="L49" s="13" t="s">
        <v>501</v>
      </c>
      <c r="M49">
        <f t="shared" si="1"/>
        <v>2</v>
      </c>
      <c r="O49" s="13"/>
      <c r="R49" s="13"/>
      <c r="T49" s="20"/>
    </row>
    <row r="50" spans="1:20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20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20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20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20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20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20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20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20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20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20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20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20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20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20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Martello Valerio (Open Fiber)</cp:lastModifiedBy>
  <dcterms:created xsi:type="dcterms:W3CDTF">2005-04-12T12:35:30Z</dcterms:created>
  <dcterms:modified xsi:type="dcterms:W3CDTF">2025-12-15T13:16:38Z</dcterms:modified>
</cp:coreProperties>
</file>