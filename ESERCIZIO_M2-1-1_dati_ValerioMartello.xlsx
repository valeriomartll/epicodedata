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762224\Downloads\"/>
    </mc:Choice>
  </mc:AlternateContent>
  <xr:revisionPtr revIDLastSave="0" documentId="13_ncr:1_{9BA69D43-D280-4A69-8F6A-4DAB92B81AD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0" hidden="1">Assoluti_Iva!$A$1:$E$337</definedName>
    <definedName name="_xlnm._FilterDatabase" localSheetId="2" hidden="1">Fatture!$A$1:$E$80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H24" i="3" l="1"/>
  <c r="H25" i="3"/>
  <c r="H26" i="3"/>
  <c r="H27" i="3"/>
  <c r="H28" i="3"/>
  <c r="H29" i="3"/>
  <c r="H23" i="3"/>
  <c r="H18" i="3"/>
  <c r="H19" i="3"/>
  <c r="H20" i="3"/>
  <c r="H17" i="3"/>
  <c r="H9" i="3"/>
  <c r="H10" i="3"/>
  <c r="H11" i="3"/>
  <c r="H12" i="3"/>
  <c r="H13" i="3"/>
  <c r="H14" i="3"/>
  <c r="H8" i="3"/>
  <c r="H3" i="3"/>
  <c r="H4" i="3"/>
  <c r="H5" i="3"/>
  <c r="H2" i="3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7" i="1"/>
  <c r="D18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4" i="1"/>
  <c r="D105" i="1"/>
  <c r="D106" i="1"/>
  <c r="D108" i="1"/>
  <c r="D109" i="1"/>
  <c r="D110" i="1"/>
  <c r="D111" i="1"/>
  <c r="D112" i="1"/>
  <c r="D113" i="1"/>
  <c r="D114" i="1"/>
  <c r="D115" i="1"/>
  <c r="D117" i="1"/>
  <c r="D118" i="1"/>
  <c r="D119" i="1"/>
  <c r="D120" i="1"/>
  <c r="D121" i="1"/>
  <c r="D122" i="1"/>
  <c r="D123" i="1"/>
  <c r="D124" i="1"/>
  <c r="D125" i="1"/>
  <c r="D126" i="1"/>
  <c r="D127" i="1"/>
  <c r="D129" i="1"/>
  <c r="D130" i="1"/>
  <c r="D131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1" i="1"/>
  <c r="D152" i="1"/>
  <c r="D153" i="1"/>
  <c r="D154" i="1"/>
  <c r="D155" i="1"/>
  <c r="D156" i="1"/>
  <c r="D157" i="1"/>
  <c r="D158" i="1"/>
  <c r="D159" i="1"/>
  <c r="D160" i="1"/>
  <c r="D161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5" i="1"/>
  <c r="D186" i="1"/>
  <c r="D187" i="1"/>
  <c r="D188" i="1"/>
  <c r="D189" i="1"/>
  <c r="D190" i="1"/>
  <c r="D191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5" i="1"/>
  <c r="D316" i="1"/>
  <c r="D317" i="1"/>
  <c r="D318" i="1"/>
  <c r="D319" i="1"/>
  <c r="D320" i="1"/>
  <c r="D321" i="1"/>
  <c r="D322" i="1"/>
  <c r="D323" i="1"/>
  <c r="D324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<sst xmlns="http://schemas.openxmlformats.org/spreadsheetml/2006/main" count="837" uniqueCount="581">
  <si>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</si>
  <si>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</si>
  <si>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</si>
  <si>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</si>
  <si>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</si>
  <si>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</si>
  <si>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</si>
  <si>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</si>
  <si>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</si>
  <si>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</si>
  <si>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</si>
  <si>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</si>
  <si>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</si>
  <si>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</si>
  <si>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</si>
  <si>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</si>
  <si>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</si>
  <si>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</si>
  <si>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</si>
  <si>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</si>
  <si>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</si>
  <si>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</si>
  <si>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</si>
  <si>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</si>
  <si>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</si>
  <si>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</si>
  <si>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</si>
  <si>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</si>
  <si>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</si>
  <si>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</si>
  <si>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</si>
  <si>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</si>
  <si>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</si>
  <si>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</si>
  <si>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</si>
  <si>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</si>
  <si>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</si>
  <si>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</si>
  <si>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</si>
  <si>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</si>
  <si>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</si>
  <si>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</si>
  <si>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</si>
  <si>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</si>
  <si>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</si>
  <si>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</si>
  <si>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</si>
  <si>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</si>
  <si>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</si>
  <si>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</si>
  <si>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</si>
  <si>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</si>
  <si>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</si>
  <si>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</si>
  <si>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</si>
  <si>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</si>
  <si>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</si>
  <si>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</si>
  <si>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</si>
  <si>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</si>
  <si>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</si>
  <si>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</si>
  <si>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</si>
  <si>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</si>
  <si>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</si>
  <si>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</si>
  <si>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</si>
  <si>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</si>
  <si>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</si>
  <si>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</si>
  <si>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</si>
  <si>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</si>
  <si>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</si>
  <si>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</si>
  <si>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</si>
  <si>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</si>
  <si>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</si>
  <si>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</si>
  <si>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</si>
  <si>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</si>
  <si>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</si>
  <si>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</si>
  <si>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</si>
  <si>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</si>
  <si>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</si>
  <si>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</si>
  <si>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</si>
  <si>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</si>
  <si>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</si>
  <si>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</si>
  <si>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</si>
  <si>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</si>
  <si>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</si>
  <si>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</si>
  <si>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</si>
  <si>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</si>
  <si>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</si>
  <si>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</si>
  <si>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</si>
  <si>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</si>
  <si>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</si>
  <si>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</si>
  <si>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</si>
  <si>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</si>
  <si>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</si>
  <si>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</si>
  <si>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</si>
  <si>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</si>
  <si>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</si>
  <si>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</si>
  <si>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</si>
  <si>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</si>
  <si>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</si>
  <si>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</si>
  <si>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</si>
  <si>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</si>
  <si>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</si>
  <si>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</si>
  <si>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</si>
  <si>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</si>
  <si>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</si>
  <si>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</si>
  <si>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</si>
  <si>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</si>
  <si>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</si>
  <si>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</si>
  <si>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</si>
  <si>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</si>
  <si>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</si>
  <si>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</si>
  <si>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</si>
  <si>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</si>
  <si>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</si>
  <si>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</si>
  <si>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</si>
  <si>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</si>
  <si>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</si>
  <si>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</si>
  <si>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</si>
  <si>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</si>
  <si>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</si>
  <si>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</si>
  <si>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</si>
  <si>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</si>
  <si>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</si>
  <si>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</si>
  <si>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</si>
  <si>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</si>
  <si>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</si>
  <si>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</si>
  <si>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</si>
  <si>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</si>
  <si>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</si>
  <si>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</si>
  <si>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</si>
  <si>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</si>
  <si>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</si>
  <si>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</si>
  <si>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</si>
  <si>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</si>
  <si>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</si>
  <si>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</si>
  <si>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</si>
  <si>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</si>
  <si>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</si>
  <si>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</si>
  <si>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</si>
  <si>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</si>
  <si>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</si>
  <si>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</si>
  <si>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</si>
  <si>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</si>
  <si>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</si>
  <si>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</si>
  <si>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</si>
  <si>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</si>
  <si>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</si>
  <si>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</si>
  <si>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</si>
  <si>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</si>
  <si>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</si>
  <si>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</si>
  <si>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</si>
  <si>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</si>
  <si>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</si>
  <si>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</si>
  <si>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</si>
  <si>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</si>
  <si>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</si>
  <si>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</si>
  <si>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</si>
  <si>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</si>
  <si>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</si>
  <si>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</si>
  <si>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</si>
  <si>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</si>
  <si>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</si>
  <si>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</si>
  <si>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</si>
  <si>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</si>
  <si>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</si>
  <si>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</si>
  <si>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</si>
  <si>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</si>
  <si>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</si>
  <si>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</si>
  <si>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</si>
  <si>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</si>
  <si>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</si>
  <si>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</si>
  <si>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</si>
  <si>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</si>
  <si>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</si>
  <si>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</si>
  <si>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</si>
  <si>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</si>
  <si>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</si>
  <si>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</si>
  <si>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</si>
  <si>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</si>
  <si>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</si>
  <si>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</si>
  <si>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</si>
  <si>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</si>
  <si>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</si>
  <si>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</si>
  <si>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</si>
  <si>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</si>
  <si>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</si>
  <si>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</si>
  <si>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</si>
  <si>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</si>
  <si>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</si>
  <si>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</si>
  <si>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</si>
  <si>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</si>
  <si>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</si>
  <si>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</si>
  <si>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</si>
  <si>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</si>
  <si>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</si>
  <si>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</si>
  <si>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</si>
  <si>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</si>
  <si>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</si>
  <si>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</si>
  <si>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</si>
  <si>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</si>
  <si>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</si>
  <si>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</si>
  <si>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</si>
  <si>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</si>
  <si>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</si>
  <si>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</si>
  <si>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</si>
  <si>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</si>
  <si>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</si>
  <si>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</si>
  <si>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</si>
  <si>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</si>
  <si>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</si>
  <si>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</si>
  <si>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</si>
  <si>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</si>
  <si>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</si>
  <si>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</si>
  <si>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</si>
  <si>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</si>
  <si>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</si>
  <si>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</si>
  <si>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</si>
  <si>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</si>
  <si>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</si>
  <si>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</si>
  <si>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</si>
  <si>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</si>
  <si>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</si>
  <si>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</si>
  <si>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</si>
  <si>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</si>
  <si>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</si>
  <si>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</si>
  <si>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</si>
  <si>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</si>
  <si>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</si>
  <si>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</si>
  <si>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</si>
  <si>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</si>
  <si>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</si>
  <si>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</si>
  <si>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</si>
  <si>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</si>
  <si>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</si>
  <si>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</si>
  <si>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</si>
  <si>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</si>
  <si>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</si>
  <si>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</si>
  <si>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</si>
  <si>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</si>
  <si>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</si>
  <si>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</si>
  <si>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</si>
  <si>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</si>
  <si>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</si>
  <si>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</si>
  <si>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</si>
  <si>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</si>
  <si>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</si>
  <si>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</si>
  <si>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</si>
  <si>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</si>
  <si>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</si>
  <si>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</si>
  <si>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</si>
  <si>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</si>
  <si>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</si>
  <si>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</si>
  <si>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</si>
  <si>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</si>
  <si>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</si>
  <si>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</si>
  <si>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</si>
  <si>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</si>
  <si>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</si>
  <si>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</si>
  <si>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</si>
  <si>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</si>
  <si>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</si>
  <si>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</si>
  <si>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</si>
  <si>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</si>
  <si>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</si>
  <si>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</si>
  <si>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</si>
  <si>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</si>
  <si>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</si>
  <si>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</si>
  <si>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</si>
  <si>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</si>
  <si>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</si>
  <si>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</si>
  <si>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</si>
  <si>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</si>
  <si>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</si>
  <si>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</si>
  <si>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</si>
  <si>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</si>
  <si>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</si>
  <si>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</si>
  <si>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</si>
  <si>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</si>
  <si>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</si>
  <si>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</si>
  <si>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</si>
  <si>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</si>
  <si>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</si>
  <si>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</si>
  <si>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</si>
  <si>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</si>
  <si>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</si>
  <si>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</si>
  <si>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</si>
  <si>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</si>
  <si>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</si>
  <si>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</si>
  <si>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</si>
  <si>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</si>
  <si>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</si>
  <si>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</si>
  <si>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</si>
  <si>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</si>
  <si>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</si>
  <si>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</si>
  <si>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</si>
  <si>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</si>
  <si>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</si>
  <si>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</si>
  <si>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</si>
  <si>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</si>
  <si>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</si>
  <si>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</si>
  <si>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</si>
  <si>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</si>
  <si>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</si>
  <si>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</si>
  <si>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</si>
  <si>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</si>
  <si>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</si>
  <si>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</si>
  <si>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</si>
  <si>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</si>
  <si>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</si>
  <si>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</si>
  <si>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</si>
  <si>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</si>
  <si>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</si>
  <si>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</si>
  <si>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</si>
  <si>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</si>
  <si>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</si>
  <si>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</si>
  <si>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</si>
  <si>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</si>
  <si>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</si>
  <si>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</si>
  <si>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</si>
  <si>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</si>
  <si>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</si>
  <si>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</si>
  <si>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</si>
  <si>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</si>
  <si>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</si>
  <si>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</si>
  <si>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</si>
  <si>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</si>
  <si>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</si>
  <si>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</si>
  <si>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</si>
  <si>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</si>
  <si>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</si>
  <si>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</si>
  <si>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</si>
  <si>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</si>
  <si>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</si>
  <si>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</si>
  <si>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</si>
  <si>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</si>
  <si>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</si>
  <si>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</si>
  <si>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</si>
  <si>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</si>
  <si>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</si>
  <si>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</si>
  <si>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</si>
  <si>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</si>
  <si>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</si>
  <si>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</si>
  <si>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</si>
  <si>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</si>
  <si>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</si>
  <si>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</si>
  <si>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</si>
  <si>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</si>
  <si>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</si>
  <si>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</si>
  <si>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</si>
  <si>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</si>
  <si>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</si>
  <si>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</si>
  <si>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</si>
  <si>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</si>
  <si>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</si>
  <si>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</si>
  <si>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</si>
  <si>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</si>
  <si>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</si>
  <si>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</si>
  <si>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</si>
  <si>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</si>
  <si>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</si>
  <si>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</si>
  <si>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</si>
  <si>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</si>
  <si>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</si>
  <si>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</si>
  <si>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</si>
  <si>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</si>
  <si>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</si>
  <si>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</si>
  <si>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</si>
  <si>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</si>
  <si>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</si>
  <si>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</si>
  <si>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</si>
  <si>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</si>
  <si>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</si>
  <si>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</si>
  <si>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</si>
  <si>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</si>
  <si>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</si>
  <si>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</si>
  <si>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</si>
  <si>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</si>
  <si>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</si>
  <si>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</si>
  <si>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</si>
  <si>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</si>
  <si>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</si>
  <si>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</si>
  <si>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</si>
  <si>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</si>
  <si>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</si>
  <si>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</si>
  <si>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</si>
  <si>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</si>
  <si>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</si>
  <si>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</si>
  <si>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</si>
  <si>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</si>
  <si>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</si>
  <si>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</si>
  <si>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</si>
  <si>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</si>
  <si>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</si>
  <si>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</si>
  <si>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</si>
  <si>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</si>
  <si>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</si>
  <si>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</si>
  <si>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</si>
  <si>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</si>
  <si>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</si>
  <si>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</si>
  <si>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</si>
  <si>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</si>
  <si>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</si>
  <si>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</si>
  <si>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</si>
  <si>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</si>
  <si>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</si>
  <si>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</si>
  <si>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</si>
  <si>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</si>
  <si>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</si>
  <si>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</si>
  <si>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</si>
  <si>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</si>
  <si>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</si>
  <si>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</si>
  <si>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</si>
  <si>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</si>
  <si>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</si>
  <si>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</si>
  <si>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</si>
  <si>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</si>
  <si>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</si>
  <si>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</si>
  <si>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</si>
  <si>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</si>
  <si>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</si>
  <si>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</si>
  <si>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</si>
  <si>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</si>
  <si>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</si>
  <si>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</si>
  <si>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</si>
  <si>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</si>
  <si>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</si>
  <si>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</si>
  <si>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</si>
  <si>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</si>
  <si>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</si>
  <si>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</si>
  <si>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</si>
  <si>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</si>
  <si>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</si>
  <si>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</si>
  <si>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</si>
  <si>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</si>
  <si>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</si>
  <si>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</si>
  <si>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</si>
  <si>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</si>
  <si>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</si>
  <si>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</si>
  <si>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</si>
  <si>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</si>
  <si>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</si>
  <si>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Solo IVA</t>
  </si>
  <si>
    <t>MONITOR DESC</t>
  </si>
  <si>
    <t xml:space="preserve"> Posso ottenere questo risultato tramite una funzione CERCAVERT? Se sì, come?</t>
  </si>
  <si>
    <t>respinto</t>
  </si>
  <si>
    <t>sufficiente</t>
  </si>
  <si>
    <t>discreto</t>
  </si>
  <si>
    <t>buono</t>
  </si>
  <si>
    <t>Esiti</t>
  </si>
  <si>
    <t>Si. Lo posso fare con la funzione CERCA.VERT andando a selezionare come primo argomento la cella da cercare, come secondo argomento la matrice di ricerca dove andare a trovare il valore; nel terzo argomento vado a indicare il numero di colonna dove sono indicati i valori che mi deve restituire e nel quanto argometo metto FALSO in modo tale che mi dia il valore esatto.</t>
  </si>
  <si>
    <t>Numero Fatture</t>
  </si>
  <si>
    <t>Clienti</t>
  </si>
  <si>
    <t>Totale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</si>
</sst>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9" formatCode="#,##0.00\ &quot;€&quot;"/>
  </numFmts>
  <fonts count="11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2" fillId="0" borderId="0" xfId="0" applyFont="1" applyAlignment="1">
      <alignment wrapText="1"/>
    </xf>
    <xf numFmtId="0" fontId="8" fillId="4" borderId="0" xfId="0" applyFont="1" applyFill="1"/>
    <xf numFmtId="0" fontId="9" fillId="0" borderId="0" xfId="0" applyFont="1"/>
    <xf numFmtId="0" fontId="9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0" xfId="0" applyNumberFormat="1"/>
  </cellXfs>
  <cellStyles count="1">
    <cellStyle name="Normale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B1" workbookViewId="0">
      <pane ySplit="1" topLeftCell="A2" activePane="bottomLeft" state="frozen"/>
      <selection pane="bottomLeft" activeCell="H7" sqref="H7"/>
    </sheetView>
  </sheetViews>
  <sheetFormatPr defaultColWidth="14.3984375" defaultRowHeight="15" customHeight="1" x14ac:dyDescent="0.3"/>
  <cols>
    <col min="1" max="1" width="41.296875" customWidth="1"/>
    <col min="2" max="2" width="54.3984375" customWidth="1"/>
    <col min="3" max="3" width="27.296875" customWidth="1"/>
    <col min="4" max="4" width="15.796875" bestFit="1" customWidth="1"/>
    <col min="5" max="5" width="97.09765625" bestFit="1" customWidth="1"/>
    <col min="6" max="6" width="5.59765625" customWidth="1"/>
    <col min="7" max="7" width="7.09765625" customWidth="1"/>
    <col min="8" max="26" width="8.6992187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1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C2-(C2/1.2)</f>
        <v>46833.333333333314</v>
      </c>
      <c r="E2" s="4" t="str">
        <f>A2&amp;" "&amp;B2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C3-(C3/1.2)</f>
        <v>53833.333333333314</v>
      </c>
      <c r="E3" s="4" t="str">
        <f t="shared" ref="E3:E66" si="1">A3&amp;" "&amp;B3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57333.333333333314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60166.666666666628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86833.333333333314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87833.333333333314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104333.33333333331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109333.33333333326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111000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147000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184666.66666666663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219333.33333333326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265666.66666666651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453166.66666666651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/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682000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2309833.3333333321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/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27833.333333333314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33666.666666666657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33833.333333333314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39000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42000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43166.666666666657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44833.333333333314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45166.666666666657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48666.666666666657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48833.333333333314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51166.666666666657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73333.333333333314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81166.666666666628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94333.333333333314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133666.66666666663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263166.66666666651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/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11666.666666666664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17333.333333333328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21166.666666666657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27000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29833.333333333314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31000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31000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33833.333333333314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35333.333333333314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37000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40833.333333333314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41833.333333333314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42833.333333333314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44833.333333333314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52333.333333333314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54166.666666666628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57833.333333333314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61500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67000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78500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79333.333333333314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82000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88500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92000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247833.33333333326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/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16833.333333333328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6333.3333333333321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22833.333333333328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37000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C67-(C67/1.2)</f>
        <v>83500</v>
      </c>
      <c r="E67" s="4" t="str">
        <f t="shared" ref="E67:E130" si="3">A67&amp;" "&amp;B67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71333.333333333314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93500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263000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5666.6666666666642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3333.3333333333321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3833.3333333333321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16333.333333333328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41833.333333333314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2500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2333.3333333333321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/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66500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43166.666666666657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54000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63000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78166.666666666628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92666.666666666628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79333.333333333314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79500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92666.666666666628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115833.33333333326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213166.66666666651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5833.3333333333321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29166.666666666657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45333.333333333314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33000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48333.333333333314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98166.666666666628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123833.33333333326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45166.666666666657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105333.33333333326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15000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666.66666666666652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833.33333333333303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6833.3333333333285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/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122833.33333333326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151666.66666666663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40166.666666666657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/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18666.666666666657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18833.333333333328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20166.666666666657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26666.666666666657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32500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35833.333333333314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53500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102333.33333333331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/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5000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5666.6666666666642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5833.3333333333321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12833.333333333328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120500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123666.66666666663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129666.66666666663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146333.33333333326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147166.66666666663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152166.66666666663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187500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/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5500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8666.6666666666642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4">C131-(C131/1.2)</f>
        <v>16166.666666666657</v>
      </c>
      <c r="E131" s="4" t="str">
        <f t="shared" ref="E131:E194" si="5">A131&amp;" "&amp;B131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/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21833.333333333328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28166.666666666657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31666.666666666657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31833.333333333314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32833.333333333314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33500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36666.666666666657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41666.666666666657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42833.333333333314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46333.333333333314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46666.666666666657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50000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50833.333333333314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55833.333333333314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60000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71500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116833.33333333326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/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15000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11500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14833.333333333328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23000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32666.666666666657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54833.333333333314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49166.666666666657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3166.6666666666661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4333.3333333333321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4666.6666666666642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9333.3333333333285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/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4"/>
        <v>36000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4"/>
        <v>41666.666666666657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4"/>
        <v>63666.666666666628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4"/>
        <v>87333.333333333314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4"/>
        <v>126166.66666666663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4"/>
        <v>174166.66666666663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4"/>
        <v>261333.33333333326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4"/>
        <v>19500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4"/>
        <v>26333.333333333314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4"/>
        <v>43333.333333333314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4"/>
        <v>32166.666666666657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4"/>
        <v>45000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4"/>
        <v>52333.333333333314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4"/>
        <v>149000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4"/>
        <v>173333.33333333326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4"/>
        <v>1333.333333333333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4"/>
        <v>1666.6666666666661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4"/>
        <v>4000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1833.3333333333321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1666.6666666666661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4333.3333333333321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/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3666.6666666666642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10500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10500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4333.3333333333321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4166.6666666666642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4166.6666666666642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7666.6666666666642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/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6166.6666666666642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6166.6666666666642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C195-(C195/1.2)</f>
        <v>1833.3333333333321</v>
      </c>
      <c r="E195" s="4" t="str">
        <f t="shared" ref="E195:E258" si="7">A195&amp;" "&amp;B195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7666.6666666666642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3166.6666666666661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2166.6666666666661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4333.3333333333321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4333.3333333333321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3333.3333333333321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8166.6666666666642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5500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11333.333333333328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5500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24500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25166.666666666657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32833.333333333314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51666.666666666657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45166.666666666657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76333.333333333314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68666.666666666628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134500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6"/>
        <v>666.66666666666652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6"/>
        <v>13500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6"/>
        <v>20833.333333333328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6"/>
        <v>16333.333333333328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6"/>
        <v>23333.333333333328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833.33333333333303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1000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6"/>
        <v>1500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1333.333333333333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6"/>
        <v>1833.3333333333321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3500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2333.3333333333321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3833.3333333333321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8500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/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33000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27833.333333333314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15833.333333333328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23500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58500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69000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10166.666666666664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148833.33333333326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164166.66666666663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49333.333333333314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114166.66666666663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189666.66666666663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222333.33333333326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5000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5000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67666.666666666628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32833.333333333314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107500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107500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43166.666666666657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107666.66666666663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43166.666666666657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107500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146500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43166.666666666657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45666.666666666657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162500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80000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197833.33333333326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138666.66666666663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C259-(C259/1.2)</f>
        <v>37833.333333333314</v>
      </c>
      <c r="E259" s="4" t="str">
        <f t="shared" ref="E259:E322" si="9">A259&amp;" "&amp;B259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16333.333333333328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198333.33333333326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50000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401166.66666666651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170166.66666666663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107666.66666666663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43166.666666666657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32166.666666666657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16000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99000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47000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302333.33333333326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32166.666666666657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109000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121500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105333.33333333326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40000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159166.66666666663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187666.66666666663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/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49500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107666.66666666663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119000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134500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98500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153000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210833.33333333326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42666.666666666657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61833.333333333314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76166.666666666628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107000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261833.33333333326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126000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261833.33333333326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452666.66666666651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106666.66666666663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42500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68833.333333333314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60166.666666666628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90666.666666666628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113000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175666.66666666663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80333.333333333314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120333.33333333326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44833.333333333314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61833.333333333314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77000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90166.666666666628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108000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107333.33333333326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150333.33333333326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120333.33333333326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242833.33333333326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297666.66666666651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/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14166.666666666657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14000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19166.666666666657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25333.333333333328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13666.666666666657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14000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19166.666666666657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25500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0">C323-(C323/1.2)</f>
        <v>13333.333333333328</v>
      </c>
      <c r="E323" s="4" t="str">
        <f t="shared" ref="E323:E337" si="11">A323&amp;" "&amp;B323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17000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/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33000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38833.333333333314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46500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49666.666666666657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79666.666666666628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104333.33333333331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126166.66666666663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188000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254500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689000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1141666.666666666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0"/>
        <v>1952000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autoFilter ref="A1:E337" xr:uid="{00000000-0001-0000-0000-000000000000}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C2" sqref="C2"/>
    </sheetView>
  </sheetViews>
  <sheetFormatPr defaultColWidth="14.3984375" defaultRowHeight="15" customHeight="1" x14ac:dyDescent="0.3"/>
  <cols>
    <col min="1" max="1" width="16.296875" customWidth="1"/>
    <col min="2" max="2" width="18.59765625" customWidth="1"/>
    <col min="3" max="3" width="19.296875" customWidth="1"/>
    <col min="4" max="4" width="14" customWidth="1"/>
    <col min="5" max="5" width="12.5" bestFit="1" customWidth="1"/>
    <col min="6" max="6" width="9.59765625" bestFit="1" customWidth="1"/>
    <col min="7" max="7" width="74.59765625" bestFit="1" customWidth="1"/>
    <col min="8" max="8" width="8" customWidth="1"/>
    <col min="9" max="26" width="9.296875" customWidth="1"/>
  </cols>
  <sheetData>
    <row r="1" spans="1:26" ht="12.75" customHeight="1" x14ac:dyDescent="0.3">
      <c r="A1" s="6" t="s">
        <v>484</v>
      </c>
      <c r="B1" s="6" t="s">
        <v>485</v>
      </c>
      <c r="C1" s="6"/>
      <c r="D1" s="4"/>
      <c r="E1" s="6" t="s">
        <v>485</v>
      </c>
      <c r="F1" s="16" t="s">
        <v>576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7" t="s">
        <v>486</v>
      </c>
      <c r="B2" s="7">
        <v>40</v>
      </c>
      <c r="C2" s="7" t="str">
        <f>VLOOKUP(Table_1[[#This Row],[Column2]],E:F,2,FALSE)</f>
        <v>sufficiente</v>
      </c>
      <c r="D2" s="8"/>
      <c r="E2" s="7">
        <v>0</v>
      </c>
      <c r="F2" s="8" t="s">
        <v>572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7" t="s">
        <v>487</v>
      </c>
      <c r="B3" s="7">
        <v>60</v>
      </c>
      <c r="C3" s="7" t="str">
        <f>VLOOKUP(Table_1[[#This Row],[Column2]],E:F,2,FALSE)</f>
        <v>discreto</v>
      </c>
      <c r="E3" s="7">
        <v>40</v>
      </c>
      <c r="F3" s="8" t="s">
        <v>573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7" t="s">
        <v>488</v>
      </c>
      <c r="B4" s="7">
        <v>60</v>
      </c>
      <c r="C4" s="7" t="str">
        <f>VLOOKUP(Table_1[[#This Row],[Column2]],E:F,2,FALSE)</f>
        <v>discreto</v>
      </c>
      <c r="E4" s="7">
        <v>60</v>
      </c>
      <c r="F4" s="8" t="s">
        <v>574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7" t="s">
        <v>489</v>
      </c>
      <c r="B5" s="7">
        <v>40</v>
      </c>
      <c r="C5" s="7" t="str">
        <f>VLOOKUP(Table_1[[#This Row],[Column2]],E:F,2,FALSE)</f>
        <v>sufficiente</v>
      </c>
      <c r="E5" s="7">
        <v>70</v>
      </c>
      <c r="F5" s="8" t="s">
        <v>575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7" t="s">
        <v>490</v>
      </c>
      <c r="B6" s="7">
        <v>70</v>
      </c>
      <c r="C6" s="7" t="str">
        <f>VLOOKUP(Table_1[[#This Row],[Column2]],E:F,2,FALSE)</f>
        <v>buono</v>
      </c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" t="s">
        <v>491</v>
      </c>
      <c r="B7" s="7">
        <v>0</v>
      </c>
      <c r="C7" s="7" t="str">
        <f>VLOOKUP(Table_1[[#This Row],[Column2]],E:F,2,FALSE)</f>
        <v>respinto</v>
      </c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" t="s">
        <v>492</v>
      </c>
      <c r="B8" s="7">
        <v>0</v>
      </c>
      <c r="C8" s="7" t="str">
        <f>VLOOKUP(Table_1[[#This Row],[Column2]],E:F,2,FALSE)</f>
        <v>respinto</v>
      </c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4"/>
      <c r="E9" s="4"/>
      <c r="F9" s="4"/>
      <c r="G9" s="1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18" t="s">
        <v>571</v>
      </c>
      <c r="B13" s="19"/>
      <c r="C13" s="19"/>
      <c r="D13" s="19"/>
      <c r="E13" s="19"/>
      <c r="F13" s="1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53.5" customHeight="1" x14ac:dyDescent="0.3">
      <c r="A14" s="20" t="s">
        <v>577</v>
      </c>
      <c r="B14" s="20"/>
      <c r="C14" s="20"/>
      <c r="D14" s="20"/>
      <c r="E14" s="20"/>
      <c r="F14" s="2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2">
    <mergeCell ref="A13:F13"/>
    <mergeCell ref="A14:F14"/>
  </mergeCells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topLeftCell="A11" workbookViewId="0">
      <selection activeCell="J24" sqref="J24"/>
    </sheetView>
  </sheetViews>
  <sheetFormatPr defaultColWidth="14.3984375" defaultRowHeight="15" customHeight="1" x14ac:dyDescent="0.3"/>
  <cols>
    <col min="1" max="1" width="9.8984375" customWidth="1"/>
    <col min="2" max="2" width="28.296875" customWidth="1"/>
    <col min="3" max="3" width="21.296875" customWidth="1"/>
    <col min="4" max="4" width="18" customWidth="1"/>
    <col min="5" max="5" width="21.69921875" customWidth="1"/>
    <col min="6" max="6" width="3.69921875" customWidth="1"/>
    <col min="7" max="7" width="13.296875" bestFit="1" customWidth="1"/>
    <col min="8" max="8" width="18.59765625" bestFit="1" customWidth="1"/>
    <col min="9" max="24" width="8.69921875" customWidth="1"/>
  </cols>
  <sheetData>
    <row r="1" spans="1:24" ht="13.5" customHeight="1" thickBot="1" x14ac:dyDescent="0.45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21" t="s">
        <v>495</v>
      </c>
      <c r="H1" s="21" t="s">
        <v>578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thickTop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s="22" t="s">
        <v>499</v>
      </c>
      <c r="H2" s="23">
        <f>COUNTIF(C:C,G2)</f>
        <v>11</v>
      </c>
    </row>
    <row r="3" spans="1:24" ht="13.5" customHeight="1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s="24" t="s">
        <v>558</v>
      </c>
      <c r="H3" s="23">
        <f t="shared" ref="H3:H5" si="0">COUNTIF(C:C,G3)</f>
        <v>5</v>
      </c>
    </row>
    <row r="4" spans="1:24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s="24" t="s">
        <v>506</v>
      </c>
      <c r="H4" s="23">
        <f t="shared" si="0"/>
        <v>4</v>
      </c>
    </row>
    <row r="5" spans="1:24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s="24" t="s">
        <v>547</v>
      </c>
      <c r="H5" s="23">
        <f t="shared" si="0"/>
        <v>4</v>
      </c>
    </row>
    <row r="6" spans="1:24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thickBot="1" x14ac:dyDescent="0.35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G7" s="21" t="s">
        <v>579</v>
      </c>
      <c r="H7" s="21" t="s">
        <v>578</v>
      </c>
    </row>
    <row r="8" spans="1:24" ht="13.5" customHeight="1" thickTop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24" t="s">
        <v>501</v>
      </c>
      <c r="H8">
        <f>COUNTIF(B:B,G8)</f>
        <v>2</v>
      </c>
    </row>
    <row r="9" spans="1:24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s="24" t="s">
        <v>507</v>
      </c>
      <c r="H9">
        <f t="shared" ref="H9:H14" si="1">COUNTIF(B:B,G9)</f>
        <v>1</v>
      </c>
    </row>
    <row r="10" spans="1:24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24" t="s">
        <v>509</v>
      </c>
      <c r="H10">
        <f t="shared" si="1"/>
        <v>1</v>
      </c>
    </row>
    <row r="11" spans="1:24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s="24" t="s">
        <v>511</v>
      </c>
      <c r="H11">
        <f t="shared" si="1"/>
        <v>1</v>
      </c>
    </row>
    <row r="12" spans="1:24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s="24" t="s">
        <v>525</v>
      </c>
      <c r="H12">
        <f t="shared" si="1"/>
        <v>4</v>
      </c>
    </row>
    <row r="13" spans="1:24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s="24" t="s">
        <v>528</v>
      </c>
      <c r="H13">
        <f t="shared" si="1"/>
        <v>2</v>
      </c>
    </row>
    <row r="14" spans="1:24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s="24" t="s">
        <v>529</v>
      </c>
      <c r="H14">
        <f t="shared" si="1"/>
        <v>1</v>
      </c>
    </row>
    <row r="15" spans="1:24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thickBot="1" x14ac:dyDescent="0.35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  <c r="G16" s="21" t="s">
        <v>495</v>
      </c>
      <c r="H16" s="21" t="s">
        <v>580</v>
      </c>
    </row>
    <row r="17" spans="1:8" ht="13.5" customHeight="1" thickTop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  <c r="G17" s="22" t="s">
        <v>499</v>
      </c>
      <c r="H17" s="25">
        <f>SUMIF(C:C,G17,D:D)</f>
        <v>611780</v>
      </c>
    </row>
    <row r="18" spans="1:8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  <c r="G18" s="24" t="s">
        <v>558</v>
      </c>
      <c r="H18" s="25">
        <f t="shared" ref="H18:H20" si="2">SUMIF(C:C,G18,D:D)</f>
        <v>30860</v>
      </c>
    </row>
    <row r="19" spans="1:8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  <c r="G19" s="24" t="s">
        <v>506</v>
      </c>
      <c r="H19" s="25">
        <f t="shared" si="2"/>
        <v>54000</v>
      </c>
    </row>
    <row r="20" spans="1:8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  <c r="G20" s="24" t="s">
        <v>547</v>
      </c>
      <c r="H20" s="25">
        <f t="shared" si="2"/>
        <v>6765600</v>
      </c>
    </row>
    <row r="21" spans="1:8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8" ht="13.5" customHeight="1" thickBot="1" x14ac:dyDescent="0.35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  <c r="G22" s="21" t="s">
        <v>579</v>
      </c>
      <c r="H22" s="21" t="s">
        <v>580</v>
      </c>
    </row>
    <row r="23" spans="1:8" ht="13.5" customHeight="1" thickTop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  <c r="G23" s="24" t="s">
        <v>501</v>
      </c>
      <c r="H23" s="26">
        <f>SUMIF(B:B,G23,D:D)</f>
        <v>73450</v>
      </c>
    </row>
    <row r="24" spans="1:8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  <c r="G24" s="24" t="s">
        <v>507</v>
      </c>
      <c r="H24" s="26">
        <f t="shared" ref="H24:H29" si="3">SUMIF(B:B,G24,D:D)</f>
        <v>50800</v>
      </c>
    </row>
    <row r="25" spans="1:8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  <c r="G25" s="24" t="s">
        <v>509</v>
      </c>
      <c r="H25" s="26">
        <f t="shared" si="3"/>
        <v>98450</v>
      </c>
    </row>
    <row r="26" spans="1:8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  <c r="G26" s="24" t="s">
        <v>511</v>
      </c>
      <c r="H26" s="26">
        <f t="shared" si="3"/>
        <v>7950</v>
      </c>
    </row>
    <row r="27" spans="1:8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  <c r="G27" s="24" t="s">
        <v>525</v>
      </c>
      <c r="H27" s="26">
        <f t="shared" si="3"/>
        <v>283000</v>
      </c>
    </row>
    <row r="28" spans="1:8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  <c r="G28" s="24" t="s">
        <v>528</v>
      </c>
      <c r="H28" s="26">
        <f t="shared" si="3"/>
        <v>107700</v>
      </c>
    </row>
    <row r="29" spans="1:8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  <c r="G29" s="24" t="s">
        <v>529</v>
      </c>
      <c r="H29" s="26">
        <f t="shared" si="3"/>
        <v>27270</v>
      </c>
    </row>
    <row r="30" spans="1:8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8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8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autoFilter ref="A1:E80" xr:uid="{00000000-0001-0000-0200-000000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Martello Valerio (Open Fiber)</cp:lastModifiedBy>
  <dcterms:created xsi:type="dcterms:W3CDTF">2005-04-12T12:35:30Z</dcterms:created>
  <dcterms:modified xsi:type="dcterms:W3CDTF">2025-12-26T10:36:38Z</dcterms:modified>
</cp:coreProperties>
</file>