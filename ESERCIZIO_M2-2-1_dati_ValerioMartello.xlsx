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094A3A38-7240-4CDF-B59B-34536681E4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otti" sheetId="1" r:id="rId1"/>
  </sheets>
  <definedNames>
    <definedName name="_xlnm.Print_Area" localSheetId="0">Prodotti!$A$1:$E$11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<sst xmlns="http://schemas.openxmlformats.org/spreadsheetml/2006/main" count="45" uniqueCount="24">
  <si>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</si>
  <si>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</si>
  <si>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</si>
  <si>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</si>
  <si>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</si>
  <si>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</si>
  <si>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</si>
  <si>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</si>
  <si>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</si>
  <si>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</si>
  <si>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</si>
  <si>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</si>
  <si>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</si>
  <si>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</si>
  <si>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</si>
  <si>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</si>
  <si>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</si>
  <si>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</si>
  <si>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</si>
  <si>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Tech Innovations Ltd,</t>
  </si>
  <si>
    <t>Etichette di riga</t>
  </si>
  <si>
    <t>Totale complessivo</t>
  </si>
  <si>
    <t>Somma di Totale</t>
  </si>
  <si>
    <t>Etichette di colonna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</si>
</sst>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[ESERCIZIO_M2-2-1_dati.xlsx]Prodotti!Tabella pivot1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Prodotti!$B$35:$B$36</c:f>
              <c:strCache>
                <c:ptCount val="1"/>
                <c:pt idx="0">
                  <c:v>AquaLux Dynamics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Prodotti!$A$37:$A$47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Prodotti!$B$37:$B$47</c:f>
              <c:numCache>
                <c:formatCode>#,##0.00\ "€"</c:formatCode>
                <c:ptCount val="10"/>
                <c:pt idx="0">
                  <c:v>14</c:v>
                </c:pt>
                <c:pt idx="2">
                  <c:v>18.75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3-42AE-B6C2-0B5698CC0C99}"/>
            </c:ext>
          </c:extLst>
        </c:ser>
        <c:ser>
          <c:idx val="1"/>
          <c:order val="1"/>
          <c:tx>
            <c:strRef>
              <c:f>Prodotti!$C$35:$C$36</c:f>
              <c:strCache>
                <c:ptCount val="1"/>
                <c:pt idx="0">
                  <c:v>EcoVibe Solutions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Prodotti!$A$37:$A$47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Prodotti!$C$37:$C$47</c:f>
              <c:numCache>
                <c:formatCode>#,##0.00\ "€"</c:formatCode>
                <c:ptCount val="10"/>
                <c:pt idx="9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3-42AE-B6C2-0B5698CC0C99}"/>
            </c:ext>
          </c:extLst>
        </c:ser>
        <c:ser>
          <c:idx val="2"/>
          <c:order val="2"/>
          <c:tx>
            <c:strRef>
              <c:f>Prodotti!$D$35:$D$36</c:f>
              <c:strCache>
                <c:ptCount val="1"/>
                <c:pt idx="0">
                  <c:v>SolarTech Solutions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Prodotti!$A$37:$A$47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Prodotti!$D$37:$D$47</c:f>
              <c:numCache>
                <c:formatCode>#,##0.00\ "€"</c:formatCode>
                <c:ptCount val="10"/>
                <c:pt idx="3">
                  <c:v>6.5</c:v>
                </c:pt>
                <c:pt idx="4">
                  <c:v>10.5</c:v>
                </c:pt>
                <c:pt idx="5">
                  <c:v>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A3-42AE-B6C2-0B5698CC0C99}"/>
            </c:ext>
          </c:extLst>
        </c:ser>
        <c:ser>
          <c:idx val="3"/>
          <c:order val="3"/>
          <c:tx>
            <c:strRef>
              <c:f>Prodotti!$E$35:$E$36</c:f>
              <c:strCache>
                <c:ptCount val="1"/>
                <c:pt idx="0">
                  <c:v>Tech Innovations Ltd,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Prodotti!$A$37:$A$47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Prodotti!$E$37:$E$47</c:f>
              <c:numCache>
                <c:formatCode>#,##0.00\ "€"</c:formatCode>
                <c:ptCount val="10"/>
                <c:pt idx="8">
                  <c:v>15.75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A3-42AE-B6C2-0B5698CC0C99}"/>
            </c:ext>
          </c:extLst>
        </c:ser>
        <c:ser>
          <c:idx val="4"/>
          <c:order val="4"/>
          <c:tx>
            <c:strRef>
              <c:f>Prodotti!$F$35:$F$36</c:f>
              <c:strCache>
                <c:ptCount val="1"/>
                <c:pt idx="0">
                  <c:v>Tech Innovations Ltd.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Prodotti!$A$37:$A$47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Prodotti!$F$37:$F$47</c:f>
              <c:numCache>
                <c:formatCode>#,##0.00\ "€"</c:formatCode>
                <c:ptCount val="10"/>
                <c:pt idx="1">
                  <c:v>8.5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3-42AE-B6C2-0B5698CC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360544"/>
        <c:axId val="890368224"/>
      </c:barChart>
      <c:catAx>
        <c:axId val="89036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368224"/>
        <c:crosses val="autoZero"/>
        <c:auto val="1"/>
        <c:lblAlgn val="ctr"/>
        <c:lblOffset val="100"/>
        <c:noMultiLvlLbl val="0"/>
      </c:catAx>
      <c:valAx>
        <c:axId val="8903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36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53</xdr:row>
      <xdr:rowOff>114300</xdr:rowOff>
    </xdr:from>
    <xdr:to>
      <xdr:col>3</xdr:col>
      <xdr:colOff>1479550</xdr:colOff>
      <xdr:row>67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8E83CD7-85F7-4215-8778-7094993D9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ello Valerio (Open Fiber)" refreshedDate="46020.61083553241" createdVersion="8" refreshedVersion="8" minRefreshableVersion="3" recordCount="10" xr:uid="{E9F2551D-8D58-46EB-AFD7-071E38C3E0F9}">
  <cacheSource type="worksheet">
    <worksheetSource name="_xlnm.Print_Area" sheet="Prodotti"/>
  </cacheSource>
  <cacheFields count="5">
    <cacheField name="Azienda" numFmtId="0">
      <sharedItems count="5">
        <s v="Tech Innovations Ltd,"/>
        <s v="Tech Innovations Ltd."/>
        <s v="SolarTech Solutions"/>
        <s v="AquaLux Dynamics"/>
        <s v="EcoVibe Solutions"/>
      </sharedItems>
    </cacheField>
    <cacheField name="Prodotto" numFmtId="0">
      <sharedItems count="10">
        <s v="Tecnologia"/>
        <s v="Cibo"/>
        <s v="Pannelli"/>
        <s v="Quanti"/>
        <s v="Infinito"/>
        <s v="Crema"/>
        <s v="Acqua"/>
        <s v="Orizzonte"/>
        <s v="Pianeta"/>
        <s v="Vibrazione"/>
      </sharedItems>
    </cacheField>
    <cacheField name="Quantità" numFmtId="0">
      <sharedItems containsSemiMixedTypes="0" containsString="0" containsNumber="1" containsInteger="1" minValue="300" maxValue="1500"/>
    </cacheField>
    <cacheField name="Prezzo" numFmtId="164">
      <sharedItems containsSemiMixedTypes="0" containsString="0" containsNumber="1" minValue="6.5" maxValue="25"/>
    </cacheField>
    <cacheField name="Totale" numFmtId="164">
      <sharedItems containsSemiMixedTypes="0" containsString="0" containsNumber="1" minValue="6.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  <n v="15.75"/>
    <n v="15.75"/>
  </r>
  <r>
    <x v="1"/>
    <x v="1"/>
    <n v="1200"/>
    <n v="8.5"/>
    <n v="8.5"/>
  </r>
  <r>
    <x v="2"/>
    <x v="2"/>
    <n v="800"/>
    <n v="12.25"/>
    <n v="12.25"/>
  </r>
  <r>
    <x v="1"/>
    <x v="3"/>
    <n v="300"/>
    <n v="25"/>
    <n v="25"/>
  </r>
  <r>
    <x v="2"/>
    <x v="4"/>
    <n v="1500"/>
    <n v="6.5"/>
    <n v="6.5"/>
  </r>
  <r>
    <x v="3"/>
    <x v="5"/>
    <n v="700"/>
    <n v="18.75"/>
    <n v="18.75"/>
  </r>
  <r>
    <x v="3"/>
    <x v="6"/>
    <n v="900"/>
    <n v="14"/>
    <n v="14"/>
  </r>
  <r>
    <x v="2"/>
    <x v="7"/>
    <n v="1100"/>
    <n v="10.5"/>
    <n v="10.5"/>
  </r>
  <r>
    <x v="3"/>
    <x v="8"/>
    <n v="600"/>
    <n v="20"/>
    <n v="20"/>
  </r>
  <r>
    <x v="4"/>
    <x v="9"/>
    <n v="1000"/>
    <n v="13.5"/>
    <n v="1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902E8-E8F3-40E2-AF90-291195A642A4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5:G47" firstHeaderRow="1" firstDataRow="2" firstDataCol="1"/>
  <pivotFields count="5">
    <pivotField axis="axisCol" showAll="0">
      <items count="6">
        <item x="3"/>
        <item x="4"/>
        <item x="2"/>
        <item x="0"/>
        <item x="1"/>
        <item t="default"/>
      </items>
    </pivotField>
    <pivotField axis="axisRow" showAll="0">
      <items count="11">
        <item x="6"/>
        <item x="1"/>
        <item x="5"/>
        <item x="4"/>
        <item x="7"/>
        <item x="2"/>
        <item x="8"/>
        <item x="3"/>
        <item x="0"/>
        <item x="9"/>
        <item t="default"/>
      </items>
    </pivotField>
    <pivotField showAll="0"/>
    <pivotField numFmtId="164" showAll="0"/>
    <pivotField dataField="1"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a di Totale" fld="4" baseField="0" baseItem="0" numFmtId="164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7"/>
  <sheetViews>
    <sheetView tabSelected="1" view="pageLayout" topLeftCell="A97" zoomScaleNormal="50" workbookViewId="0">
      <selection activeCell="C1" sqref="C1"/>
    </sheetView>
  </sheetViews>
  <sheetFormatPr defaultColWidth="12.6328125" defaultRowHeight="15.75" customHeight="1"/>
  <cols>
    <col min="1" max="1" width="19.7265625" customWidth="1"/>
    <col min="2" max="3" width="22.36328125" customWidth="1"/>
    <col min="4" max="4" width="24" customWidth="1"/>
    <col min="6" max="6" width="15.26953125" bestFit="1" customWidth="1"/>
    <col min="7" max="7" width="17.6328125" bestFit="1" customWidth="1"/>
    <col min="8" max="8" width="20.36328125" bestFit="1" customWidth="1"/>
    <col min="9" max="9" width="16.54296875" bestFit="1" customWidth="1"/>
    <col min="10" max="10" width="18.36328125" bestFit="1" customWidth="1"/>
    <col min="11" max="12" width="19.7265625" bestFit="1" customWidth="1"/>
    <col min="13" max="13" width="17.6328125" bestFit="1" customWidth="1"/>
  </cols>
  <sheetData>
    <row r="1" spans="1:25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2" t="s">
        <v>19</v>
      </c>
      <c r="B2" s="2" t="s">
        <v>6</v>
      </c>
      <c r="C2" s="2">
        <v>500</v>
      </c>
      <c r="D2" s="3">
        <v>15.75</v>
      </c>
      <c r="E2" s="4">
        <f>SUMIFS($D$2:$D$1000, $A$2:$A$1000, $A2, $B$2:$B$1000, $B2)</f>
        <v>15.75</v>
      </c>
    </row>
    <row r="3" spans="1:25" ht="15.75" customHeight="1">
      <c r="A3" s="2" t="s">
        <v>5</v>
      </c>
      <c r="B3" s="2" t="s">
        <v>7</v>
      </c>
      <c r="C3" s="2">
        <v>1200</v>
      </c>
      <c r="D3" s="3">
        <v>8.5</v>
      </c>
      <c r="E3" s="4">
        <f t="shared" ref="E3:E11" si="0">SUMIFS($D$2:$D$1000, $A$2:$A$1000, $A3, $B$2:$B$1000, $B3)</f>
        <v>8.5</v>
      </c>
    </row>
    <row r="4" spans="1:25" ht="15.75" customHeight="1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12.25</v>
      </c>
    </row>
    <row r="5" spans="1:25" ht="15.75" customHeight="1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25</v>
      </c>
    </row>
    <row r="6" spans="1:25" ht="15.75" customHeight="1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6.5</v>
      </c>
    </row>
    <row r="7" spans="1:25" ht="15.75" customHeight="1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18.75</v>
      </c>
    </row>
    <row r="8" spans="1:25" ht="15.75" customHeight="1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14</v>
      </c>
    </row>
    <row r="9" spans="1:25" ht="15.75" customHeight="1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10.5</v>
      </c>
    </row>
    <row r="10" spans="1:25" ht="15.75" customHeight="1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20</v>
      </c>
    </row>
    <row r="11" spans="1:25" ht="15.75" customHeight="1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13.5</v>
      </c>
    </row>
    <row r="35" spans="1:7" ht="15.75" customHeight="1">
      <c r="A35" s="5" t="s">
        <v>22</v>
      </c>
      <c r="B35" s="5" t="s">
        <v>23</v>
      </c>
    </row>
    <row r="36" spans="1:7" ht="15.75" customHeight="1">
      <c r="A36" s="5" t="s">
        <v>20</v>
      </c>
      <c r="B36" t="s">
        <v>12</v>
      </c>
      <c r="C36" t="s">
        <v>17</v>
      </c>
      <c r="D36" t="s">
        <v>8</v>
      </c>
      <c r="E36" t="s">
        <v>19</v>
      </c>
      <c r="F36" t="s">
        <v>5</v>
      </c>
      <c r="G36" t="s">
        <v>21</v>
      </c>
    </row>
    <row r="37" spans="1:7" ht="15.75" customHeight="1">
      <c r="A37" s="6" t="s">
        <v>14</v>
      </c>
      <c r="B37" s="7">
        <v>14</v>
      </c>
      <c r="C37" s="7"/>
      <c r="D37" s="7"/>
      <c r="E37" s="7"/>
      <c r="F37" s="7"/>
      <c r="G37" s="7">
        <v>14</v>
      </c>
    </row>
    <row r="38" spans="1:7" ht="15.75" customHeight="1">
      <c r="A38" s="6" t="s">
        <v>7</v>
      </c>
      <c r="B38" s="7"/>
      <c r="C38" s="7"/>
      <c r="D38" s="7"/>
      <c r="E38" s="7"/>
      <c r="F38" s="7">
        <v>8.5</v>
      </c>
      <c r="G38" s="7">
        <v>8.5</v>
      </c>
    </row>
    <row r="39" spans="1:7" ht="15.75" customHeight="1">
      <c r="A39" s="6" t="s">
        <v>13</v>
      </c>
      <c r="B39" s="7">
        <v>18.75</v>
      </c>
      <c r="C39" s="7"/>
      <c r="D39" s="7"/>
      <c r="E39" s="7"/>
      <c r="F39" s="7"/>
      <c r="G39" s="7">
        <v>18.75</v>
      </c>
    </row>
    <row r="40" spans="1:7" ht="15.75" customHeight="1">
      <c r="A40" s="6" t="s">
        <v>11</v>
      </c>
      <c r="B40" s="7"/>
      <c r="C40" s="7"/>
      <c r="D40" s="7">
        <v>6.5</v>
      </c>
      <c r="E40" s="7"/>
      <c r="F40" s="7"/>
      <c r="G40" s="7">
        <v>6.5</v>
      </c>
    </row>
    <row r="41" spans="1:7" ht="15.75" customHeight="1">
      <c r="A41" s="6" t="s">
        <v>15</v>
      </c>
      <c r="B41" s="7"/>
      <c r="C41" s="7"/>
      <c r="D41" s="7">
        <v>10.5</v>
      </c>
      <c r="E41" s="7"/>
      <c r="F41" s="7"/>
      <c r="G41" s="7">
        <v>10.5</v>
      </c>
    </row>
    <row r="42" spans="1:7" ht="15.75" customHeight="1">
      <c r="A42" s="6" t="s">
        <v>9</v>
      </c>
      <c r="B42" s="7"/>
      <c r="C42" s="7"/>
      <c r="D42" s="7">
        <v>12.25</v>
      </c>
      <c r="E42" s="7"/>
      <c r="F42" s="7"/>
      <c r="G42" s="7">
        <v>12.25</v>
      </c>
    </row>
    <row r="43" spans="1:7" ht="15.75" customHeight="1">
      <c r="A43" s="6" t="s">
        <v>16</v>
      </c>
      <c r="B43" s="7">
        <v>20</v>
      </c>
      <c r="C43" s="7"/>
      <c r="D43" s="7"/>
      <c r="E43" s="7"/>
      <c r="F43" s="7"/>
      <c r="G43" s="7">
        <v>20</v>
      </c>
    </row>
    <row r="44" spans="1:7" ht="15.75" customHeight="1">
      <c r="A44" s="6" t="s">
        <v>10</v>
      </c>
      <c r="B44" s="7"/>
      <c r="C44" s="7"/>
      <c r="D44" s="7"/>
      <c r="E44" s="7"/>
      <c r="F44" s="7">
        <v>25</v>
      </c>
      <c r="G44" s="7">
        <v>25</v>
      </c>
    </row>
    <row r="45" spans="1:7" ht="15.75" customHeight="1">
      <c r="A45" s="6" t="s">
        <v>6</v>
      </c>
      <c r="B45" s="7"/>
      <c r="C45" s="7"/>
      <c r="D45" s="7"/>
      <c r="E45" s="7">
        <v>15.75</v>
      </c>
      <c r="F45" s="7"/>
      <c r="G45" s="7">
        <v>15.75</v>
      </c>
    </row>
    <row r="46" spans="1:7" ht="15.75" customHeight="1">
      <c r="A46" s="6" t="s">
        <v>18</v>
      </c>
      <c r="B46" s="7"/>
      <c r="C46" s="7">
        <v>13.5</v>
      </c>
      <c r="D46" s="7"/>
      <c r="E46" s="7"/>
      <c r="F46" s="7"/>
      <c r="G46" s="7">
        <v>13.5</v>
      </c>
    </row>
    <row r="47" spans="1:7" ht="15.75" customHeight="1">
      <c r="A47" s="6" t="s">
        <v>21</v>
      </c>
      <c r="B47" s="7">
        <v>52.75</v>
      </c>
      <c r="C47" s="7">
        <v>13.5</v>
      </c>
      <c r="D47" s="7">
        <v>29.25</v>
      </c>
      <c r="E47" s="7">
        <v>15.75</v>
      </c>
      <c r="F47" s="7">
        <v>33.5</v>
      </c>
      <c r="G47" s="7">
        <v>144.75</v>
      </c>
    </row>
  </sheetData>
  <pageMargins left="0.19685039370078741" right="0.19685039370078741" top="0.39370078740157483" bottom="0.39370078740157483" header="0.31496062992125984" footer="0.31496062992125984"/>
  <pageSetup orientation="portrait" r:id="rId2"/>
  <headerFooter>
    <oddHeader>&amp;CSpese recenti</oddHeader>
    <oddFooter>&amp;C&amp;P  &amp;D</oddFooter>
  </headerFooter>
  <rowBreaks count="2" manualBreakCount="2">
    <brk id="33" max="16383" man="1"/>
    <brk id="50" max="16383" man="1"/>
  </rowBreaks>
  <colBreaks count="1" manualBreakCount="1">
    <brk id="6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Martello Valerio (Open Fiber)</cp:lastModifiedBy>
  <cp:lastPrinted>2025-12-29T13:47:14Z</cp:lastPrinted>
  <dcterms:modified xsi:type="dcterms:W3CDTF">2025-12-29T13:48:21Z</dcterms:modified>
</cp:coreProperties>
</file>