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4816D259-48FD-404F-BBEB-EC9F2AFC3D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archeggio" sheetId="1" r:id="rId1"/>
    <sheet name="Frutta" sheetId="2" r:id="rId2"/>
  </sheets>
  <definedNames>
    <definedName name="_xlnm._FilterDatabase" localSheetId="1" hidden="1">Frutta!$A$1:$C$47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" l="1"/>
  <c r="E10" i="2"/>
  <c r="E11" i="2"/>
  <c r="E12" i="2"/>
  <c r="E13" i="2"/>
  <c r="E9" i="2"/>
  <c r="E3" i="2"/>
  <c r="E4" i="2"/>
  <c r="E5" i="2"/>
  <c r="E6" i="2"/>
  <c r="E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<sst xmlns="http://schemas.openxmlformats.org/spreadsheetml/2006/main" count="171" uniqueCount="116">
  <si>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</si>
  <si>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</si>
  <si>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</si>
  <si>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</si>
  <si>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</si>
  <si>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</si>
  <si>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</si>
  <si>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</si>
  <si>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</si>
  <si>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</si>
  <si>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</si>
  <si>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</si>
  <si>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</si>
  <si>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</si>
  <si>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</si>
  <si>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</si>
  <si>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</si>
  <si>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</si>
  <si>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</si>
  <si>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</si>
  <si>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</si>
  <si>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</si>
  <si>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</si>
  <si>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</si>
  <si>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</si>
  <si>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</si>
  <si>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</si>
  <si>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</si>
  <si>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</si>
  <si>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</si>
  <si>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</si>
  <si>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</si>
  <si>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</si>
  <si>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</si>
  <si>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</si>
  <si>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</si>
  <si>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</si>
  <si>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</si>
  <si>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</si>
  <si>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</si>
  <si>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</si>
  <si>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</si>
  <si>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</si>
  <si>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</si>
  <si>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</si>
  <si>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</si>
  <si>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</si>
  <si>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</si>
  <si>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</si>
  <si>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</si>
  <si>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</si>
  <si>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</si>
  <si>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</si>
  <si>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</si>
  <si>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</si>
  <si>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</si>
  <si>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</si>
  <si>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</si>
  <si>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</si>
  <si>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</si>
  <si>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</si>
  <si>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</si>
  <si>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</si>
  <si>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</si>
  <si>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</si>
  <si>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</si>
  <si>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</si>
  <si>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</si>
  <si>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</si>
  <si>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</si>
  <si>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</si>
  <si>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</si>
  <si>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</si>
  <si>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</si>
  <si>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</si>
  <si>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</si>
  <si>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</si>
  <si>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</si>
  <si>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</si>
  <si>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</si>
  <si>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</si>
  <si>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</si>
  <si>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</si>
  <si>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</si>
  <si>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</si>
  <si>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</si>
  <si>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</si>
  <si>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</si>
  <si>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</si>
  <si>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</si>
  <si>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</si>
  <si>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</si>
  <si>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</si>
  <si>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</si>
  <si>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</si>
  <si>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</si>
  <si>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</si>
  <si>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</si>
  <si>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</si>
  <si>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</si>
  <si>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</si>
  <si>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</si>
  <si>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</si>
  <si>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</si>
  <si>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</si>
  <si>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</si>
  <si>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</si>
  <si>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</si>
  <si>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</si>
  <si>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</si>
  <si>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Soggetto</t>
  </si>
  <si>
    <t>Conteggio</t>
  </si>
  <si>
    <t>Totale costo</t>
  </si>
  <si>
    <t>Frutto</t>
  </si>
  <si>
    <t>Mele</t>
  </si>
  <si>
    <t>solo per peso superiore 80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</si>
</sst>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7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 Unicode MS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8" fontId="0" fillId="0" borderId="0" xfId="0" applyNumberFormat="1"/>
    <xf numFmtId="0" fontId="3" fillId="0" borderId="0" xfId="0" applyFont="1"/>
    <xf numFmtId="168" fontId="2" fillId="0" borderId="0" xfId="0" applyNumberFormat="1" applyFont="1"/>
    <xf numFmtId="0" fontId="5" fillId="0" borderId="0" xfId="0" applyFont="1"/>
    <xf numFmtId="0" fontId="6" fillId="0" borderId="0" xfId="0" applyFont="1"/>
    <xf numFmtId="168" fontId="4" fillId="0" borderId="0" xfId="0" applyNumberFormat="1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>
      <selection activeCell="L30" sqref="L30"/>
    </sheetView>
  </sheetViews>
  <sheetFormatPr defaultColWidth="12.6328125" defaultRowHeight="15.75" customHeight="1"/>
  <cols>
    <col min="2" max="2" width="25.36328125" customWidth="1"/>
    <col min="3" max="3" width="22.1796875" bestFit="1" customWidth="1"/>
    <col min="4" max="4" width="14.26953125" bestFit="1" customWidth="1"/>
  </cols>
  <sheetData>
    <row r="1" spans="1:26" ht="14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4</v>
      </c>
      <c r="B2" s="2">
        <v>1.5</v>
      </c>
      <c r="C2">
        <f>IF(ISNUMBER(FIND(LEFT(A2,1),"ABCDEF")),0, IF(ISNUMBER(FIND(LEFT(A2,1),"GHIJKLM")),1, IF(ISNUMBER(FIND(LEFT(A2,1),"NOPQRSTUVWXYZ")),2, "")))</f>
        <v>0</v>
      </c>
      <c r="D2" s="3">
        <f>IF(C2=0,(B2/30)*2,IF(C2=1,(B2/30)*1.5,IF(C2=2, (B2/60)*2,"")))</f>
        <v>0.1</v>
      </c>
    </row>
    <row r="3" spans="1:26" ht="15.75" customHeight="1">
      <c r="A3" s="2" t="s">
        <v>5</v>
      </c>
      <c r="B3" s="2">
        <v>2.5</v>
      </c>
      <c r="C3">
        <f t="shared" ref="C3:C66" si="0">IF(ISNUMBER(FIND(LEFT(A3,1),"ABCDEF")),0, IF(ISNUMBER(FIND(LEFT(A3,1),"GHIJKLM")),1, IF(ISNUMBER(FIND(LEFT(A3,1),"NOPQRSTUVWXYZ")),2, "")))</f>
        <v>1</v>
      </c>
      <c r="D3" s="3">
        <f t="shared" ref="D3:D66" si="1">IF(C3=0,(B3/30)*2,IF(C3=1,(B3/30)*1.5,IF(C3=2, (B3/60)*2,"")))</f>
        <v>0.125</v>
      </c>
    </row>
    <row r="4" spans="1:26" ht="15.75" customHeight="1">
      <c r="A4" s="2" t="s">
        <v>6</v>
      </c>
      <c r="B4" s="2">
        <v>3.5</v>
      </c>
      <c r="C4">
        <f t="shared" si="0"/>
        <v>2</v>
      </c>
      <c r="D4" s="3">
        <f t="shared" si="1"/>
        <v>0.11666666666666667</v>
      </c>
    </row>
    <row r="5" spans="1:26" ht="15.75" customHeight="1">
      <c r="A5" s="2" t="s">
        <v>7</v>
      </c>
      <c r="B5" s="2">
        <v>4.5</v>
      </c>
      <c r="C5">
        <f t="shared" si="0"/>
        <v>2</v>
      </c>
      <c r="D5" s="3">
        <f t="shared" si="1"/>
        <v>0.15</v>
      </c>
    </row>
    <row r="6" spans="1:26" ht="15.75" customHeight="1">
      <c r="A6" s="2" t="s">
        <v>8</v>
      </c>
      <c r="B6" s="2">
        <v>5.5</v>
      </c>
      <c r="C6">
        <f t="shared" si="0"/>
        <v>2</v>
      </c>
      <c r="D6" s="3">
        <f t="shared" si="1"/>
        <v>0.18333333333333332</v>
      </c>
    </row>
    <row r="7" spans="1:26" ht="15.75" customHeight="1">
      <c r="A7" s="2" t="s">
        <v>9</v>
      </c>
      <c r="B7" s="2">
        <v>6.5</v>
      </c>
      <c r="C7">
        <f t="shared" si="0"/>
        <v>2</v>
      </c>
      <c r="D7" s="3">
        <f t="shared" si="1"/>
        <v>0.21666666666666667</v>
      </c>
    </row>
    <row r="8" spans="1:26" ht="15.75" customHeight="1">
      <c r="A8" s="2" t="s">
        <v>10</v>
      </c>
      <c r="B8" s="2">
        <v>7.5</v>
      </c>
      <c r="C8">
        <f t="shared" si="0"/>
        <v>0</v>
      </c>
      <c r="D8" s="3">
        <f t="shared" si="1"/>
        <v>0.5</v>
      </c>
    </row>
    <row r="9" spans="1:26" ht="15.75" customHeight="1">
      <c r="A9" s="2" t="s">
        <v>11</v>
      </c>
      <c r="B9" s="2">
        <v>8.5</v>
      </c>
      <c r="C9">
        <f t="shared" si="0"/>
        <v>0</v>
      </c>
      <c r="D9" s="3">
        <f t="shared" si="1"/>
        <v>0.56666666666666665</v>
      </c>
    </row>
    <row r="10" spans="1:26" ht="15.75" customHeight="1">
      <c r="A10" s="2" t="s">
        <v>12</v>
      </c>
      <c r="B10" s="2">
        <v>9.5</v>
      </c>
      <c r="C10">
        <f t="shared" si="0"/>
        <v>0</v>
      </c>
      <c r="D10" s="3">
        <f t="shared" si="1"/>
        <v>0.6333333333333333</v>
      </c>
    </row>
    <row r="11" spans="1:26" ht="15.75" customHeight="1">
      <c r="A11" s="2" t="s">
        <v>13</v>
      </c>
      <c r="B11" s="2">
        <v>10</v>
      </c>
      <c r="C11">
        <f t="shared" si="0"/>
        <v>1</v>
      </c>
      <c r="D11" s="3">
        <f t="shared" si="1"/>
        <v>0.5</v>
      </c>
    </row>
    <row r="12" spans="1:26" ht="15.75" customHeight="1">
      <c r="A12" s="2" t="s">
        <v>14</v>
      </c>
      <c r="B12" s="2">
        <v>0.5</v>
      </c>
      <c r="C12">
        <f t="shared" si="0"/>
        <v>1</v>
      </c>
      <c r="D12" s="3">
        <f t="shared" si="1"/>
        <v>2.5000000000000001E-2</v>
      </c>
    </row>
    <row r="13" spans="1:26" ht="15.75" customHeight="1">
      <c r="A13" s="2" t="s">
        <v>15</v>
      </c>
      <c r="B13" s="2">
        <v>1</v>
      </c>
      <c r="C13">
        <f t="shared" si="0"/>
        <v>1</v>
      </c>
      <c r="D13" s="3">
        <f t="shared" si="1"/>
        <v>0.05</v>
      </c>
    </row>
    <row r="14" spans="1:26" ht="15.75" customHeight="1">
      <c r="A14" s="2" t="s">
        <v>16</v>
      </c>
      <c r="B14" s="2">
        <v>2</v>
      </c>
      <c r="C14">
        <f t="shared" si="0"/>
        <v>1</v>
      </c>
      <c r="D14" s="3">
        <f t="shared" si="1"/>
        <v>0.1</v>
      </c>
    </row>
    <row r="15" spans="1:26" ht="15.75" customHeight="1">
      <c r="A15" s="2" t="s">
        <v>17</v>
      </c>
      <c r="B15" s="2">
        <v>3</v>
      </c>
      <c r="C15">
        <f t="shared" si="0"/>
        <v>2</v>
      </c>
      <c r="D15" s="3">
        <f t="shared" si="1"/>
        <v>0.1</v>
      </c>
    </row>
    <row r="16" spans="1:26" ht="15.75" customHeight="1">
      <c r="A16" s="2" t="s">
        <v>18</v>
      </c>
      <c r="B16" s="2">
        <v>4</v>
      </c>
      <c r="C16">
        <f t="shared" si="0"/>
        <v>2</v>
      </c>
      <c r="D16" s="3">
        <f t="shared" si="1"/>
        <v>0.13333333333333333</v>
      </c>
    </row>
    <row r="17" spans="1:4" ht="15.75" customHeight="1">
      <c r="A17" s="2" t="s">
        <v>19</v>
      </c>
      <c r="B17" s="2">
        <v>5</v>
      </c>
      <c r="C17">
        <f t="shared" si="0"/>
        <v>2</v>
      </c>
      <c r="D17" s="3">
        <f t="shared" si="1"/>
        <v>0.16666666666666666</v>
      </c>
    </row>
    <row r="18" spans="1:4" ht="15.75" customHeight="1">
      <c r="A18" s="2" t="s">
        <v>20</v>
      </c>
      <c r="B18" s="2">
        <v>6</v>
      </c>
      <c r="C18">
        <f t="shared" si="0"/>
        <v>2</v>
      </c>
      <c r="D18" s="3">
        <f t="shared" si="1"/>
        <v>0.2</v>
      </c>
    </row>
    <row r="19" spans="1:4" ht="15.75" customHeight="1">
      <c r="A19" s="2" t="s">
        <v>21</v>
      </c>
      <c r="B19" s="2">
        <v>7</v>
      </c>
      <c r="C19">
        <f t="shared" si="0"/>
        <v>2</v>
      </c>
      <c r="D19" s="3">
        <f t="shared" si="1"/>
        <v>0.23333333333333334</v>
      </c>
    </row>
    <row r="20" spans="1:4" ht="15.75" customHeight="1">
      <c r="A20" s="2" t="s">
        <v>22</v>
      </c>
      <c r="B20" s="2">
        <v>8</v>
      </c>
      <c r="C20">
        <f t="shared" si="0"/>
        <v>2</v>
      </c>
      <c r="D20" s="3">
        <f t="shared" si="1"/>
        <v>0.26666666666666666</v>
      </c>
    </row>
    <row r="21" spans="1:4" ht="15.75" customHeight="1">
      <c r="A21" s="2" t="s">
        <v>23</v>
      </c>
      <c r="B21" s="2">
        <v>9</v>
      </c>
      <c r="C21">
        <f t="shared" si="0"/>
        <v>0</v>
      </c>
      <c r="D21" s="3">
        <f t="shared" si="1"/>
        <v>0.6</v>
      </c>
    </row>
    <row r="22" spans="1:4" ht="15.75" customHeight="1">
      <c r="A22" s="2" t="s">
        <v>24</v>
      </c>
      <c r="B22" s="2">
        <v>10</v>
      </c>
      <c r="C22">
        <f t="shared" si="0"/>
        <v>0</v>
      </c>
      <c r="D22" s="3">
        <f t="shared" si="1"/>
        <v>0.66666666666666663</v>
      </c>
    </row>
    <row r="23" spans="1:4" ht="15.75" customHeight="1">
      <c r="A23" s="2" t="s">
        <v>25</v>
      </c>
      <c r="B23" s="2">
        <v>0.5</v>
      </c>
      <c r="C23">
        <f t="shared" si="0"/>
        <v>0</v>
      </c>
      <c r="D23" s="3">
        <f t="shared" si="1"/>
        <v>3.3333333333333333E-2</v>
      </c>
    </row>
    <row r="24" spans="1:4" ht="15.75" customHeight="1">
      <c r="A24" s="2" t="s">
        <v>26</v>
      </c>
      <c r="B24" s="2">
        <v>1</v>
      </c>
      <c r="C24">
        <f t="shared" si="0"/>
        <v>1</v>
      </c>
      <c r="D24" s="3">
        <f t="shared" si="1"/>
        <v>0.05</v>
      </c>
    </row>
    <row r="25" spans="1:4" ht="15.75" customHeight="1">
      <c r="A25" s="2" t="s">
        <v>27</v>
      </c>
      <c r="B25" s="2">
        <v>2</v>
      </c>
      <c r="C25">
        <f t="shared" si="0"/>
        <v>1</v>
      </c>
      <c r="D25" s="3">
        <f t="shared" si="1"/>
        <v>0.1</v>
      </c>
    </row>
    <row r="26" spans="1:4" ht="15.75" customHeight="1">
      <c r="A26" s="2" t="s">
        <v>28</v>
      </c>
      <c r="B26" s="2">
        <v>3</v>
      </c>
      <c r="C26">
        <f t="shared" si="0"/>
        <v>1</v>
      </c>
      <c r="D26" s="3">
        <f t="shared" si="1"/>
        <v>0.15000000000000002</v>
      </c>
    </row>
    <row r="27" spans="1:4" ht="15.75" customHeight="1">
      <c r="A27" s="2" t="s">
        <v>29</v>
      </c>
      <c r="B27" s="2">
        <v>4</v>
      </c>
      <c r="C27">
        <f t="shared" si="0"/>
        <v>1</v>
      </c>
      <c r="D27" s="3">
        <f t="shared" si="1"/>
        <v>0.2</v>
      </c>
    </row>
    <row r="28" spans="1:4" ht="15.75" customHeight="1">
      <c r="A28" s="2" t="s">
        <v>30</v>
      </c>
      <c r="B28" s="2">
        <v>5</v>
      </c>
      <c r="C28">
        <f t="shared" si="0"/>
        <v>2</v>
      </c>
      <c r="D28" s="3">
        <f t="shared" si="1"/>
        <v>0.16666666666666666</v>
      </c>
    </row>
    <row r="29" spans="1:4" ht="15.75" customHeight="1">
      <c r="A29" s="2" t="s">
        <v>31</v>
      </c>
      <c r="B29" s="2">
        <v>6</v>
      </c>
      <c r="C29">
        <f t="shared" si="0"/>
        <v>2</v>
      </c>
      <c r="D29" s="3">
        <f t="shared" si="1"/>
        <v>0.2</v>
      </c>
    </row>
    <row r="30" spans="1:4" ht="15.75" customHeight="1">
      <c r="A30" s="2" t="s">
        <v>32</v>
      </c>
      <c r="B30" s="2">
        <v>7</v>
      </c>
      <c r="C30">
        <f t="shared" si="0"/>
        <v>2</v>
      </c>
      <c r="D30" s="3">
        <f t="shared" si="1"/>
        <v>0.23333333333333334</v>
      </c>
    </row>
    <row r="31" spans="1:4" ht="15.75" customHeight="1">
      <c r="A31" s="2" t="s">
        <v>33</v>
      </c>
      <c r="B31" s="2">
        <v>8</v>
      </c>
      <c r="C31">
        <f t="shared" si="0"/>
        <v>2</v>
      </c>
      <c r="D31" s="3">
        <f t="shared" si="1"/>
        <v>0.26666666666666666</v>
      </c>
    </row>
    <row r="32" spans="1:4" ht="15.75" customHeight="1">
      <c r="A32" s="2" t="s">
        <v>34</v>
      </c>
      <c r="B32" s="2">
        <v>9</v>
      </c>
      <c r="C32">
        <f t="shared" si="0"/>
        <v>2</v>
      </c>
      <c r="D32" s="3">
        <f t="shared" si="1"/>
        <v>0.3</v>
      </c>
    </row>
    <row r="33" spans="1:4" ht="15.75" customHeight="1">
      <c r="A33" s="2" t="s">
        <v>35</v>
      </c>
      <c r="B33" s="2">
        <v>10</v>
      </c>
      <c r="C33">
        <f t="shared" si="0"/>
        <v>2</v>
      </c>
      <c r="D33" s="3">
        <f t="shared" si="1"/>
        <v>0.33333333333333331</v>
      </c>
    </row>
    <row r="34" spans="1:4" ht="15.75" customHeight="1">
      <c r="A34" s="2" t="s">
        <v>36</v>
      </c>
      <c r="B34" s="2">
        <v>0.5</v>
      </c>
      <c r="C34">
        <f t="shared" si="0"/>
        <v>0</v>
      </c>
      <c r="D34" s="3">
        <f t="shared" si="1"/>
        <v>3.3333333333333333E-2</v>
      </c>
    </row>
    <row r="35" spans="1:4" ht="12.5">
      <c r="A35" s="2" t="s">
        <v>37</v>
      </c>
      <c r="B35" s="2">
        <v>1</v>
      </c>
      <c r="C35">
        <f t="shared" si="0"/>
        <v>0</v>
      </c>
      <c r="D35" s="3">
        <f t="shared" si="1"/>
        <v>6.6666666666666666E-2</v>
      </c>
    </row>
    <row r="36" spans="1:4" ht="12.5">
      <c r="A36" s="2" t="s">
        <v>38</v>
      </c>
      <c r="B36" s="2">
        <v>2</v>
      </c>
      <c r="C36">
        <f t="shared" si="0"/>
        <v>0</v>
      </c>
      <c r="D36" s="3">
        <f t="shared" si="1"/>
        <v>0.13333333333333333</v>
      </c>
    </row>
    <row r="37" spans="1:4" ht="12.5">
      <c r="A37" s="2" t="s">
        <v>39</v>
      </c>
      <c r="B37" s="2">
        <v>3</v>
      </c>
      <c r="C37">
        <f t="shared" si="0"/>
        <v>1</v>
      </c>
      <c r="D37" s="3">
        <f t="shared" si="1"/>
        <v>0.15000000000000002</v>
      </c>
    </row>
    <row r="38" spans="1:4" ht="12.5">
      <c r="A38" s="2" t="s">
        <v>40</v>
      </c>
      <c r="B38" s="2">
        <v>4</v>
      </c>
      <c r="C38">
        <f t="shared" si="0"/>
        <v>1</v>
      </c>
      <c r="D38" s="3">
        <f t="shared" si="1"/>
        <v>0.2</v>
      </c>
    </row>
    <row r="39" spans="1:4" ht="12.5">
      <c r="A39" s="2" t="s">
        <v>41</v>
      </c>
      <c r="B39" s="2">
        <v>5</v>
      </c>
      <c r="C39">
        <f t="shared" si="0"/>
        <v>1</v>
      </c>
      <c r="D39" s="3">
        <f t="shared" si="1"/>
        <v>0.25</v>
      </c>
    </row>
    <row r="40" spans="1:4" ht="12.5">
      <c r="A40" s="2" t="s">
        <v>42</v>
      </c>
      <c r="B40" s="2">
        <v>6</v>
      </c>
      <c r="C40">
        <f t="shared" si="0"/>
        <v>1</v>
      </c>
      <c r="D40" s="3">
        <f t="shared" si="1"/>
        <v>0.30000000000000004</v>
      </c>
    </row>
    <row r="41" spans="1:4" ht="12.5">
      <c r="A41" s="2" t="s">
        <v>43</v>
      </c>
      <c r="B41" s="2">
        <v>7</v>
      </c>
      <c r="C41">
        <f t="shared" si="0"/>
        <v>2</v>
      </c>
      <c r="D41" s="3">
        <f t="shared" si="1"/>
        <v>0.23333333333333334</v>
      </c>
    </row>
    <row r="42" spans="1:4" ht="12.5">
      <c r="A42" s="2" t="s">
        <v>44</v>
      </c>
      <c r="B42" s="2">
        <v>8</v>
      </c>
      <c r="C42">
        <f t="shared" si="0"/>
        <v>2</v>
      </c>
      <c r="D42" s="3">
        <f t="shared" si="1"/>
        <v>0.26666666666666666</v>
      </c>
    </row>
    <row r="43" spans="1:4" ht="12.5">
      <c r="A43" s="2" t="s">
        <v>45</v>
      </c>
      <c r="B43" s="2">
        <v>9</v>
      </c>
      <c r="C43">
        <f t="shared" si="0"/>
        <v>2</v>
      </c>
      <c r="D43" s="3">
        <f t="shared" si="1"/>
        <v>0.3</v>
      </c>
    </row>
    <row r="44" spans="1:4" ht="12.5">
      <c r="A44" s="2" t="s">
        <v>7</v>
      </c>
      <c r="B44" s="2">
        <v>10</v>
      </c>
      <c r="C44">
        <f t="shared" si="0"/>
        <v>2</v>
      </c>
      <c r="D44" s="3">
        <f t="shared" si="1"/>
        <v>0.33333333333333331</v>
      </c>
    </row>
    <row r="45" spans="1:4" ht="12.5">
      <c r="A45" s="2" t="s">
        <v>46</v>
      </c>
      <c r="B45" s="2">
        <v>0.5</v>
      </c>
      <c r="C45">
        <f t="shared" si="0"/>
        <v>2</v>
      </c>
      <c r="D45" s="3">
        <f t="shared" si="1"/>
        <v>1.6666666666666666E-2</v>
      </c>
    </row>
    <row r="46" spans="1:4" ht="12.5">
      <c r="A46" s="2" t="s">
        <v>47</v>
      </c>
      <c r="B46" s="2">
        <v>1</v>
      </c>
      <c r="C46">
        <f t="shared" si="0"/>
        <v>2</v>
      </c>
      <c r="D46" s="3">
        <f t="shared" si="1"/>
        <v>3.3333333333333333E-2</v>
      </c>
    </row>
    <row r="47" spans="1:4" ht="12.5">
      <c r="A47" s="2" t="s">
        <v>48</v>
      </c>
      <c r="B47" s="2">
        <v>2</v>
      </c>
      <c r="C47">
        <f t="shared" si="0"/>
        <v>0</v>
      </c>
      <c r="D47" s="3">
        <f t="shared" si="1"/>
        <v>0.13333333333333333</v>
      </c>
    </row>
    <row r="48" spans="1:4" ht="12.5">
      <c r="A48" s="2" t="s">
        <v>49</v>
      </c>
      <c r="B48" s="2">
        <v>3</v>
      </c>
      <c r="C48">
        <f t="shared" si="0"/>
        <v>0</v>
      </c>
      <c r="D48" s="3">
        <f t="shared" si="1"/>
        <v>0.2</v>
      </c>
    </row>
    <row r="49" spans="1:4" ht="12.5">
      <c r="A49" s="2" t="s">
        <v>50</v>
      </c>
      <c r="B49" s="2">
        <v>4</v>
      </c>
      <c r="C49">
        <f t="shared" si="0"/>
        <v>0</v>
      </c>
      <c r="D49" s="3">
        <f t="shared" si="1"/>
        <v>0.26666666666666666</v>
      </c>
    </row>
    <row r="50" spans="1:4" ht="12.5">
      <c r="A50" s="2" t="s">
        <v>51</v>
      </c>
      <c r="B50" s="2">
        <v>5</v>
      </c>
      <c r="C50">
        <f t="shared" si="0"/>
        <v>1</v>
      </c>
      <c r="D50" s="3">
        <f t="shared" si="1"/>
        <v>0.25</v>
      </c>
    </row>
    <row r="51" spans="1:4" ht="12.5">
      <c r="A51" s="2" t="s">
        <v>52</v>
      </c>
      <c r="B51" s="2">
        <v>6</v>
      </c>
      <c r="C51">
        <f t="shared" si="0"/>
        <v>1</v>
      </c>
      <c r="D51" s="3">
        <f t="shared" si="1"/>
        <v>0.30000000000000004</v>
      </c>
    </row>
    <row r="52" spans="1:4" ht="12.5">
      <c r="A52" s="2" t="s">
        <v>53</v>
      </c>
      <c r="B52" s="2">
        <v>7</v>
      </c>
      <c r="C52">
        <f t="shared" si="0"/>
        <v>1</v>
      </c>
      <c r="D52" s="3">
        <f t="shared" si="1"/>
        <v>0.35</v>
      </c>
    </row>
    <row r="53" spans="1:4" ht="12.5">
      <c r="A53" s="2" t="s">
        <v>54</v>
      </c>
      <c r="B53" s="2">
        <v>8</v>
      </c>
      <c r="C53">
        <f t="shared" si="0"/>
        <v>1</v>
      </c>
      <c r="D53" s="3">
        <f t="shared" si="1"/>
        <v>0.4</v>
      </c>
    </row>
    <row r="54" spans="1:4" ht="12.5">
      <c r="A54" s="2" t="s">
        <v>55</v>
      </c>
      <c r="B54" s="2">
        <v>9</v>
      </c>
      <c r="C54">
        <f t="shared" si="0"/>
        <v>2</v>
      </c>
      <c r="D54" s="3">
        <f t="shared" si="1"/>
        <v>0.3</v>
      </c>
    </row>
    <row r="55" spans="1:4" ht="12.5">
      <c r="A55" s="2" t="s">
        <v>56</v>
      </c>
      <c r="B55" s="2">
        <v>10</v>
      </c>
      <c r="C55">
        <f t="shared" si="0"/>
        <v>2</v>
      </c>
      <c r="D55" s="3">
        <f t="shared" si="1"/>
        <v>0.33333333333333331</v>
      </c>
    </row>
    <row r="56" spans="1:4" ht="12.5">
      <c r="A56" s="2" t="s">
        <v>57</v>
      </c>
      <c r="B56" s="2">
        <v>0.5</v>
      </c>
      <c r="C56">
        <f t="shared" si="0"/>
        <v>2</v>
      </c>
      <c r="D56" s="3">
        <f t="shared" si="1"/>
        <v>1.6666666666666666E-2</v>
      </c>
    </row>
    <row r="57" spans="1:4" ht="12.5">
      <c r="A57" s="2" t="s">
        <v>58</v>
      </c>
      <c r="B57" s="2">
        <v>1</v>
      </c>
      <c r="C57">
        <f t="shared" si="0"/>
        <v>2</v>
      </c>
      <c r="D57" s="3">
        <f t="shared" si="1"/>
        <v>3.3333333333333333E-2</v>
      </c>
    </row>
    <row r="58" spans="1:4" ht="12.5">
      <c r="A58" s="2" t="s">
        <v>59</v>
      </c>
      <c r="B58" s="2">
        <v>2</v>
      </c>
      <c r="C58">
        <f t="shared" si="0"/>
        <v>2</v>
      </c>
      <c r="D58" s="3">
        <f t="shared" si="1"/>
        <v>6.6666666666666666E-2</v>
      </c>
    </row>
    <row r="59" spans="1:4" ht="12.5">
      <c r="A59" s="2" t="s">
        <v>60</v>
      </c>
      <c r="B59" s="2">
        <v>3</v>
      </c>
      <c r="C59">
        <f t="shared" si="0"/>
        <v>2</v>
      </c>
      <c r="D59" s="3">
        <f t="shared" si="1"/>
        <v>0.1</v>
      </c>
    </row>
    <row r="60" spans="1:4" ht="12.5">
      <c r="A60" s="2" t="s">
        <v>61</v>
      </c>
      <c r="B60" s="2">
        <v>4</v>
      </c>
      <c r="C60">
        <f t="shared" si="0"/>
        <v>0</v>
      </c>
      <c r="D60" s="3">
        <f t="shared" si="1"/>
        <v>0.26666666666666666</v>
      </c>
    </row>
    <row r="61" spans="1:4" ht="12.5">
      <c r="A61" s="2" t="s">
        <v>62</v>
      </c>
      <c r="B61" s="2">
        <v>5</v>
      </c>
      <c r="C61">
        <f t="shared" si="0"/>
        <v>0</v>
      </c>
      <c r="D61" s="3">
        <f t="shared" si="1"/>
        <v>0.33333333333333331</v>
      </c>
    </row>
    <row r="62" spans="1:4" ht="12.5">
      <c r="A62" s="2" t="s">
        <v>63</v>
      </c>
      <c r="B62" s="2">
        <v>6</v>
      </c>
      <c r="C62">
        <f t="shared" si="0"/>
        <v>0</v>
      </c>
      <c r="D62" s="3">
        <f t="shared" si="1"/>
        <v>0.4</v>
      </c>
    </row>
    <row r="63" spans="1:4" ht="12.5">
      <c r="A63" s="2" t="s">
        <v>64</v>
      </c>
      <c r="B63" s="2">
        <v>7</v>
      </c>
      <c r="C63">
        <f t="shared" si="0"/>
        <v>1</v>
      </c>
      <c r="D63" s="3">
        <f t="shared" si="1"/>
        <v>0.35</v>
      </c>
    </row>
    <row r="64" spans="1:4" ht="12.5">
      <c r="A64" s="2" t="s">
        <v>65</v>
      </c>
      <c r="B64" s="2">
        <v>8</v>
      </c>
      <c r="C64">
        <f t="shared" si="0"/>
        <v>1</v>
      </c>
      <c r="D64" s="3">
        <f t="shared" si="1"/>
        <v>0.4</v>
      </c>
    </row>
    <row r="65" spans="1:4" ht="12.5">
      <c r="A65" s="2" t="s">
        <v>66</v>
      </c>
      <c r="B65" s="2">
        <v>9</v>
      </c>
      <c r="C65">
        <f t="shared" si="0"/>
        <v>1</v>
      </c>
      <c r="D65" s="3">
        <f t="shared" si="1"/>
        <v>0.44999999999999996</v>
      </c>
    </row>
    <row r="66" spans="1:4" ht="12.5">
      <c r="A66" s="2" t="s">
        <v>67</v>
      </c>
      <c r="B66" s="2">
        <v>10</v>
      </c>
      <c r="C66">
        <f t="shared" si="0"/>
        <v>1</v>
      </c>
      <c r="D66" s="3">
        <f t="shared" si="1"/>
        <v>0.5</v>
      </c>
    </row>
    <row r="67" spans="1:4" ht="12.5">
      <c r="A67" s="2" t="s">
        <v>68</v>
      </c>
      <c r="B67" s="2">
        <v>0.5</v>
      </c>
      <c r="C67">
        <f t="shared" ref="C67:C101" si="2">IF(ISNUMBER(FIND(LEFT(A67,1),"ABCDEF")),0, IF(ISNUMBER(FIND(LEFT(A67,1),"GHIJKLM")),1, IF(ISNUMBER(FIND(LEFT(A67,1),"NOPQRSTUVWXYZ")),2, "")))</f>
        <v>2</v>
      </c>
      <c r="D67" s="3">
        <f t="shared" ref="D67:D101" si="3">IF(C67=0,(B67/30)*2,IF(C67=1,(B67/30)*1.5,IF(C67=2, (B67/60)*2,"")))</f>
        <v>1.6666666666666666E-2</v>
      </c>
    </row>
    <row r="68" spans="1:4" ht="12.5">
      <c r="A68" s="2" t="s">
        <v>69</v>
      </c>
      <c r="B68" s="2">
        <v>1</v>
      </c>
      <c r="C68">
        <f t="shared" si="2"/>
        <v>2</v>
      </c>
      <c r="D68" s="3">
        <f t="shared" si="3"/>
        <v>3.3333333333333333E-2</v>
      </c>
    </row>
    <row r="69" spans="1:4" ht="12.5">
      <c r="A69" s="2" t="s">
        <v>70</v>
      </c>
      <c r="B69" s="2">
        <v>2</v>
      </c>
      <c r="C69">
        <f t="shared" si="2"/>
        <v>2</v>
      </c>
      <c r="D69" s="3">
        <f t="shared" si="3"/>
        <v>6.6666666666666666E-2</v>
      </c>
    </row>
    <row r="70" spans="1:4" ht="12.5">
      <c r="A70" s="2" t="s">
        <v>71</v>
      </c>
      <c r="B70" s="2">
        <v>3</v>
      </c>
      <c r="C70">
        <f t="shared" si="2"/>
        <v>2</v>
      </c>
      <c r="D70" s="3">
        <f t="shared" si="3"/>
        <v>0.1</v>
      </c>
    </row>
    <row r="71" spans="1:4" ht="12.5">
      <c r="A71" s="2" t="s">
        <v>72</v>
      </c>
      <c r="B71" s="2">
        <v>4</v>
      </c>
      <c r="C71">
        <f t="shared" si="2"/>
        <v>2</v>
      </c>
      <c r="D71" s="3">
        <f t="shared" si="3"/>
        <v>0.13333333333333333</v>
      </c>
    </row>
    <row r="72" spans="1:4" ht="12.5">
      <c r="A72" s="2" t="s">
        <v>73</v>
      </c>
      <c r="B72" s="2">
        <v>5</v>
      </c>
      <c r="C72">
        <f t="shared" si="2"/>
        <v>2</v>
      </c>
      <c r="D72" s="3">
        <f t="shared" si="3"/>
        <v>0.16666666666666666</v>
      </c>
    </row>
    <row r="73" spans="1:4" ht="12.5">
      <c r="A73" s="2" t="s">
        <v>74</v>
      </c>
      <c r="B73" s="2">
        <v>6</v>
      </c>
      <c r="C73">
        <f t="shared" si="2"/>
        <v>0</v>
      </c>
      <c r="D73" s="3">
        <f t="shared" si="3"/>
        <v>0.4</v>
      </c>
    </row>
    <row r="74" spans="1:4" ht="12.5">
      <c r="A74" s="2" t="s">
        <v>75</v>
      </c>
      <c r="B74" s="2">
        <v>7</v>
      </c>
      <c r="C74">
        <f t="shared" si="2"/>
        <v>0</v>
      </c>
      <c r="D74" s="3">
        <f t="shared" si="3"/>
        <v>0.46666666666666667</v>
      </c>
    </row>
    <row r="75" spans="1:4" ht="12.5">
      <c r="A75" s="2" t="s">
        <v>76</v>
      </c>
      <c r="B75" s="2">
        <v>8</v>
      </c>
      <c r="C75">
        <f t="shared" si="2"/>
        <v>0</v>
      </c>
      <c r="D75" s="3">
        <f t="shared" si="3"/>
        <v>0.53333333333333333</v>
      </c>
    </row>
    <row r="76" spans="1:4" ht="12.5">
      <c r="A76" s="2" t="s">
        <v>77</v>
      </c>
      <c r="B76" s="2">
        <v>9</v>
      </c>
      <c r="C76">
        <f t="shared" si="2"/>
        <v>1</v>
      </c>
      <c r="D76" s="3">
        <f t="shared" si="3"/>
        <v>0.44999999999999996</v>
      </c>
    </row>
    <row r="77" spans="1:4" ht="12.5">
      <c r="A77" s="2" t="s">
        <v>78</v>
      </c>
      <c r="B77" s="2">
        <v>10</v>
      </c>
      <c r="C77">
        <f t="shared" si="2"/>
        <v>1</v>
      </c>
      <c r="D77" s="3">
        <f t="shared" si="3"/>
        <v>0.5</v>
      </c>
    </row>
    <row r="78" spans="1:4" ht="12.5">
      <c r="A78" s="2" t="s">
        <v>79</v>
      </c>
      <c r="B78" s="2">
        <v>0.5</v>
      </c>
      <c r="C78">
        <f t="shared" si="2"/>
        <v>1</v>
      </c>
      <c r="D78" s="3">
        <f t="shared" si="3"/>
        <v>2.5000000000000001E-2</v>
      </c>
    </row>
    <row r="79" spans="1:4" ht="12.5">
      <c r="A79" s="2" t="s">
        <v>80</v>
      </c>
      <c r="B79" s="2">
        <v>1</v>
      </c>
      <c r="C79">
        <f t="shared" si="2"/>
        <v>1</v>
      </c>
      <c r="D79" s="3">
        <f t="shared" si="3"/>
        <v>0.05</v>
      </c>
    </row>
    <row r="80" spans="1:4" ht="12.5">
      <c r="A80" s="2" t="s">
        <v>81</v>
      </c>
      <c r="B80" s="2">
        <v>2</v>
      </c>
      <c r="C80">
        <f t="shared" si="2"/>
        <v>2</v>
      </c>
      <c r="D80" s="3">
        <f t="shared" si="3"/>
        <v>6.6666666666666666E-2</v>
      </c>
    </row>
    <row r="81" spans="1:4" ht="12.5">
      <c r="A81" s="2" t="s">
        <v>82</v>
      </c>
      <c r="B81" s="2">
        <v>3</v>
      </c>
      <c r="C81">
        <f t="shared" si="2"/>
        <v>2</v>
      </c>
      <c r="D81" s="3">
        <f t="shared" si="3"/>
        <v>0.1</v>
      </c>
    </row>
    <row r="82" spans="1:4" ht="12.5">
      <c r="A82" s="2" t="s">
        <v>83</v>
      </c>
      <c r="B82" s="2">
        <v>4</v>
      </c>
      <c r="C82">
        <f t="shared" si="2"/>
        <v>2</v>
      </c>
      <c r="D82" s="3">
        <f t="shared" si="3"/>
        <v>0.13333333333333333</v>
      </c>
    </row>
    <row r="83" spans="1:4" ht="12.5">
      <c r="A83" s="2" t="s">
        <v>84</v>
      </c>
      <c r="B83" s="2">
        <v>5</v>
      </c>
      <c r="C83">
        <f t="shared" si="2"/>
        <v>2</v>
      </c>
      <c r="D83" s="3">
        <f t="shared" si="3"/>
        <v>0.16666666666666666</v>
      </c>
    </row>
    <row r="84" spans="1:4" ht="12.5">
      <c r="A84" s="2" t="s">
        <v>85</v>
      </c>
      <c r="B84" s="2">
        <v>6</v>
      </c>
      <c r="C84">
        <f t="shared" si="2"/>
        <v>2</v>
      </c>
      <c r="D84" s="3">
        <f t="shared" si="3"/>
        <v>0.2</v>
      </c>
    </row>
    <row r="85" spans="1:4" ht="12.5">
      <c r="A85" s="2" t="s">
        <v>86</v>
      </c>
      <c r="B85" s="2">
        <v>7</v>
      </c>
      <c r="C85">
        <f t="shared" si="2"/>
        <v>2</v>
      </c>
      <c r="D85" s="3">
        <f t="shared" si="3"/>
        <v>0.23333333333333334</v>
      </c>
    </row>
    <row r="86" spans="1:4" ht="12.5">
      <c r="A86" s="2" t="s">
        <v>87</v>
      </c>
      <c r="B86" s="2">
        <v>8</v>
      </c>
      <c r="C86">
        <f t="shared" si="2"/>
        <v>0</v>
      </c>
      <c r="D86" s="3">
        <f t="shared" si="3"/>
        <v>0.53333333333333333</v>
      </c>
    </row>
    <row r="87" spans="1:4" ht="12.5">
      <c r="A87" s="2" t="s">
        <v>88</v>
      </c>
      <c r="B87" s="2">
        <v>9</v>
      </c>
      <c r="C87">
        <f t="shared" si="2"/>
        <v>0</v>
      </c>
      <c r="D87" s="3">
        <f t="shared" si="3"/>
        <v>0.6</v>
      </c>
    </row>
    <row r="88" spans="1:4" ht="12.5">
      <c r="A88" s="2" t="s">
        <v>89</v>
      </c>
      <c r="B88" s="2">
        <v>10</v>
      </c>
      <c r="C88">
        <f t="shared" si="2"/>
        <v>0</v>
      </c>
      <c r="D88" s="3">
        <f t="shared" si="3"/>
        <v>0.66666666666666663</v>
      </c>
    </row>
    <row r="89" spans="1:4" ht="12.5">
      <c r="A89" s="2" t="s">
        <v>90</v>
      </c>
      <c r="B89" s="2">
        <v>0.5</v>
      </c>
      <c r="C89">
        <f t="shared" si="2"/>
        <v>1</v>
      </c>
      <c r="D89" s="3">
        <f t="shared" si="3"/>
        <v>2.5000000000000001E-2</v>
      </c>
    </row>
    <row r="90" spans="1:4" ht="12.5">
      <c r="A90" s="2" t="s">
        <v>91</v>
      </c>
      <c r="B90" s="2">
        <v>1</v>
      </c>
      <c r="C90">
        <f t="shared" si="2"/>
        <v>1</v>
      </c>
      <c r="D90" s="3">
        <f t="shared" si="3"/>
        <v>0.05</v>
      </c>
    </row>
    <row r="91" spans="1:4" ht="12.5">
      <c r="A91" s="2" t="s">
        <v>92</v>
      </c>
      <c r="B91" s="2">
        <v>2</v>
      </c>
      <c r="C91">
        <f t="shared" si="2"/>
        <v>1</v>
      </c>
      <c r="D91" s="3">
        <f t="shared" si="3"/>
        <v>0.1</v>
      </c>
    </row>
    <row r="92" spans="1:4" ht="12.5">
      <c r="A92" s="2" t="s">
        <v>93</v>
      </c>
      <c r="B92" s="2">
        <v>3</v>
      </c>
      <c r="C92">
        <f t="shared" si="2"/>
        <v>1</v>
      </c>
      <c r="D92" s="3">
        <f t="shared" si="3"/>
        <v>0.15000000000000002</v>
      </c>
    </row>
    <row r="93" spans="1:4" ht="12.5">
      <c r="A93" s="2" t="s">
        <v>94</v>
      </c>
      <c r="B93" s="2">
        <v>4</v>
      </c>
      <c r="C93">
        <f t="shared" si="2"/>
        <v>2</v>
      </c>
      <c r="D93" s="3">
        <f t="shared" si="3"/>
        <v>0.13333333333333333</v>
      </c>
    </row>
    <row r="94" spans="1:4" ht="12.5">
      <c r="A94" s="2" t="s">
        <v>95</v>
      </c>
      <c r="B94" s="2">
        <v>5</v>
      </c>
      <c r="C94">
        <f t="shared" si="2"/>
        <v>2</v>
      </c>
      <c r="D94" s="3">
        <f t="shared" si="3"/>
        <v>0.16666666666666666</v>
      </c>
    </row>
    <row r="95" spans="1:4" ht="12.5">
      <c r="A95" s="2" t="s">
        <v>96</v>
      </c>
      <c r="B95" s="2">
        <v>6</v>
      </c>
      <c r="C95">
        <f t="shared" si="2"/>
        <v>2</v>
      </c>
      <c r="D95" s="3">
        <f t="shared" si="3"/>
        <v>0.2</v>
      </c>
    </row>
    <row r="96" spans="1:4" ht="12.5">
      <c r="A96" s="2" t="s">
        <v>97</v>
      </c>
      <c r="B96" s="2">
        <v>7</v>
      </c>
      <c r="C96">
        <f t="shared" si="2"/>
        <v>2</v>
      </c>
      <c r="D96" s="3">
        <f t="shared" si="3"/>
        <v>0.23333333333333334</v>
      </c>
    </row>
    <row r="97" spans="1:4" ht="12.5">
      <c r="A97" s="2" t="s">
        <v>98</v>
      </c>
      <c r="B97" s="2">
        <v>8</v>
      </c>
      <c r="C97">
        <f t="shared" si="2"/>
        <v>2</v>
      </c>
      <c r="D97" s="3">
        <f t="shared" si="3"/>
        <v>0.26666666666666666</v>
      </c>
    </row>
    <row r="98" spans="1:4" ht="12.5">
      <c r="A98" s="2" t="s">
        <v>99</v>
      </c>
      <c r="B98" s="2">
        <v>9</v>
      </c>
      <c r="C98">
        <f t="shared" si="2"/>
        <v>2</v>
      </c>
      <c r="D98" s="3">
        <f t="shared" si="3"/>
        <v>0.3</v>
      </c>
    </row>
    <row r="99" spans="1:4" ht="12.5">
      <c r="A99" s="2" t="s">
        <v>100</v>
      </c>
      <c r="B99" s="2">
        <v>10</v>
      </c>
      <c r="C99">
        <f t="shared" si="2"/>
        <v>0</v>
      </c>
      <c r="D99" s="3">
        <f t="shared" si="3"/>
        <v>0.66666666666666663</v>
      </c>
    </row>
    <row r="100" spans="1:4" ht="12.5">
      <c r="A100" s="2" t="s">
        <v>101</v>
      </c>
      <c r="B100" s="2">
        <v>0.5</v>
      </c>
      <c r="C100">
        <f t="shared" si="2"/>
        <v>0</v>
      </c>
      <c r="D100" s="3">
        <f t="shared" si="3"/>
        <v>3.3333333333333333E-2</v>
      </c>
    </row>
    <row r="101" spans="1:4" ht="12.5">
      <c r="A101" s="2" t="s">
        <v>102</v>
      </c>
      <c r="B101" s="2">
        <v>1</v>
      </c>
      <c r="C101">
        <f t="shared" si="2"/>
        <v>0</v>
      </c>
      <c r="D101" s="3">
        <f t="shared" si="3"/>
        <v>6.6666666666666666E-2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F18" sqref="F18"/>
    </sheetView>
  </sheetViews>
  <sheetFormatPr defaultColWidth="12.6328125" defaultRowHeight="15.75" customHeight="1"/>
  <cols>
    <col min="2" max="2" width="25.36328125" customWidth="1"/>
    <col min="3" max="3" width="20.08984375" customWidth="1"/>
    <col min="4" max="4" width="22.7265625" customWidth="1"/>
    <col min="5" max="5" width="20.81640625" bestFit="1" customWidth="1"/>
    <col min="6" max="6" width="28.36328125" bestFit="1" customWidth="1"/>
  </cols>
  <sheetData>
    <row r="1" spans="1:26" ht="14">
      <c r="A1" s="1" t="s">
        <v>103</v>
      </c>
      <c r="B1" s="1" t="s">
        <v>104</v>
      </c>
      <c r="C1" s="1" t="s">
        <v>3</v>
      </c>
      <c r="D1" s="4" t="s">
        <v>113</v>
      </c>
      <c r="E1" s="4" t="s">
        <v>111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105</v>
      </c>
      <c r="B2" s="2">
        <v>55</v>
      </c>
      <c r="C2" s="3"/>
      <c r="D2" s="2" t="s">
        <v>107</v>
      </c>
      <c r="E2">
        <f>COUNTIF(A:A,D2)</f>
        <v>11</v>
      </c>
    </row>
    <row r="3" spans="1:26" ht="15.75" customHeight="1">
      <c r="A3" s="2" t="s">
        <v>106</v>
      </c>
      <c r="B3" s="2">
        <v>70</v>
      </c>
      <c r="C3" s="5">
        <v>80</v>
      </c>
      <c r="D3" s="2" t="s">
        <v>106</v>
      </c>
      <c r="E3">
        <f>COUNTIF(A:A,D3)</f>
        <v>14</v>
      </c>
    </row>
    <row r="4" spans="1:26" ht="15.75" customHeight="1">
      <c r="A4" s="2" t="s">
        <v>107</v>
      </c>
      <c r="B4" s="2">
        <v>40</v>
      </c>
      <c r="C4" s="5">
        <v>60</v>
      </c>
      <c r="D4" s="2" t="s">
        <v>105</v>
      </c>
      <c r="E4">
        <f>COUNTIF(A:A,D4)</f>
        <v>11</v>
      </c>
    </row>
    <row r="5" spans="1:26" ht="15.75" customHeight="1">
      <c r="A5" s="2" t="s">
        <v>105</v>
      </c>
      <c r="B5" s="2">
        <v>20</v>
      </c>
      <c r="C5" s="5">
        <v>100</v>
      </c>
      <c r="D5" s="2" t="s">
        <v>108</v>
      </c>
      <c r="E5">
        <f>COUNTIF(A:A,D5)</f>
        <v>7</v>
      </c>
    </row>
    <row r="6" spans="1:26" ht="15.75" customHeight="1">
      <c r="A6" s="2" t="s">
        <v>108</v>
      </c>
      <c r="B6" s="2">
        <v>90</v>
      </c>
      <c r="C6" s="5">
        <v>30</v>
      </c>
      <c r="D6" s="2" t="s">
        <v>109</v>
      </c>
      <c r="E6">
        <f>COUNTIF(A:A,D6)</f>
        <v>3</v>
      </c>
    </row>
    <row r="7" spans="1:26" ht="15.75" customHeight="1">
      <c r="A7" s="2" t="s">
        <v>106</v>
      </c>
      <c r="B7" s="2">
        <v>50</v>
      </c>
      <c r="C7" s="5">
        <v>40</v>
      </c>
    </row>
    <row r="8" spans="1:26" ht="15.75" customHeight="1">
      <c r="A8" s="2" t="s">
        <v>107</v>
      </c>
      <c r="B8" s="2">
        <v>60</v>
      </c>
      <c r="C8" s="5">
        <v>55</v>
      </c>
      <c r="D8" s="4" t="s">
        <v>110</v>
      </c>
      <c r="E8" s="4" t="s">
        <v>112</v>
      </c>
    </row>
    <row r="9" spans="1:26" ht="15.75" customHeight="1">
      <c r="A9" s="2" t="s">
        <v>105</v>
      </c>
      <c r="B9" s="2">
        <v>45</v>
      </c>
      <c r="C9" s="3"/>
      <c r="D9" s="2" t="s">
        <v>107</v>
      </c>
      <c r="E9" s="3">
        <f>SUMIF(A:A,D9,C:C)</f>
        <v>495</v>
      </c>
    </row>
    <row r="10" spans="1:26" ht="15.75" customHeight="1">
      <c r="A10" s="2" t="s">
        <v>106</v>
      </c>
      <c r="B10" s="2">
        <v>25</v>
      </c>
      <c r="C10" s="5">
        <v>85</v>
      </c>
      <c r="D10" s="2" t="s">
        <v>106</v>
      </c>
      <c r="E10" s="3">
        <f>SUMIF(A:A,D10,C:C)</f>
        <v>815</v>
      </c>
    </row>
    <row r="11" spans="1:26" ht="15.75" customHeight="1">
      <c r="A11" s="2" t="s">
        <v>108</v>
      </c>
      <c r="B11" s="2">
        <v>35</v>
      </c>
      <c r="C11" s="5">
        <v>50</v>
      </c>
      <c r="D11" s="2" t="s">
        <v>105</v>
      </c>
      <c r="E11" s="3">
        <f>SUMIF(A:A,D11,C:C)</f>
        <v>555</v>
      </c>
    </row>
    <row r="12" spans="1:26" ht="15.75" customHeight="1">
      <c r="A12" s="2" t="s">
        <v>109</v>
      </c>
      <c r="B12" s="2">
        <v>60</v>
      </c>
      <c r="C12" s="5">
        <v>95</v>
      </c>
      <c r="D12" s="2" t="s">
        <v>108</v>
      </c>
      <c r="E12" s="3">
        <f>SUMIF(A:A,D12,C:C)</f>
        <v>225</v>
      </c>
    </row>
    <row r="13" spans="1:26" ht="15.75" customHeight="1">
      <c r="A13" s="2" t="s">
        <v>107</v>
      </c>
      <c r="B13" s="2">
        <v>80</v>
      </c>
      <c r="C13" s="3"/>
      <c r="D13" s="2" t="s">
        <v>109</v>
      </c>
      <c r="E13" s="3">
        <f>SUMIF(A:A,D13,C:C)</f>
        <v>150</v>
      </c>
    </row>
    <row r="14" spans="1:26" ht="15.75" customHeight="1">
      <c r="A14" s="2" t="s">
        <v>106</v>
      </c>
      <c r="B14" s="2">
        <v>40</v>
      </c>
      <c r="C14" s="5">
        <v>45</v>
      </c>
    </row>
    <row r="15" spans="1:26" ht="15.75" customHeight="1">
      <c r="A15" s="2" t="s">
        <v>105</v>
      </c>
      <c r="B15" s="2">
        <v>65</v>
      </c>
      <c r="C15" s="5">
        <v>65</v>
      </c>
      <c r="D15" s="4" t="s">
        <v>113</v>
      </c>
      <c r="E15" s="4" t="s">
        <v>112</v>
      </c>
      <c r="F15" s="6" t="s">
        <v>115</v>
      </c>
    </row>
    <row r="16" spans="1:26" ht="15.75" customHeight="1">
      <c r="A16" s="2" t="s">
        <v>107</v>
      </c>
      <c r="B16" s="2">
        <v>55</v>
      </c>
      <c r="C16" s="5">
        <v>30</v>
      </c>
      <c r="D16" s="7" t="s">
        <v>114</v>
      </c>
      <c r="E16" s="8">
        <f>SUMIFS(C:C, A:A, "Mela", B:B, "&gt;80")</f>
        <v>0</v>
      </c>
    </row>
    <row r="17" spans="1:5" ht="15.75" customHeight="1">
      <c r="A17" s="2" t="s">
        <v>108</v>
      </c>
      <c r="B17" s="2">
        <v>70</v>
      </c>
      <c r="C17" s="3"/>
      <c r="D17" s="2"/>
      <c r="E17" s="3"/>
    </row>
    <row r="18" spans="1:5" ht="15.75" customHeight="1">
      <c r="A18" s="2" t="s">
        <v>106</v>
      </c>
      <c r="B18" s="2">
        <v>45</v>
      </c>
      <c r="C18" s="5">
        <v>80</v>
      </c>
      <c r="D18" s="2"/>
      <c r="E18" s="3"/>
    </row>
    <row r="19" spans="1:5" ht="15.75" customHeight="1">
      <c r="A19" s="2" t="s">
        <v>105</v>
      </c>
      <c r="B19" s="2">
        <v>25</v>
      </c>
      <c r="C19" s="5">
        <v>60</v>
      </c>
      <c r="D19" s="2"/>
      <c r="E19" s="3"/>
    </row>
    <row r="20" spans="1:5" ht="15.75" customHeight="1">
      <c r="A20" s="2" t="s">
        <v>106</v>
      </c>
      <c r="B20" s="2">
        <v>35</v>
      </c>
      <c r="C20" s="3"/>
      <c r="D20" s="2"/>
      <c r="E20" s="3"/>
    </row>
    <row r="21" spans="1:5" ht="15.75" customHeight="1">
      <c r="A21" s="2" t="s">
        <v>107</v>
      </c>
      <c r="B21" s="2">
        <v>60</v>
      </c>
      <c r="C21" s="5">
        <v>30</v>
      </c>
    </row>
    <row r="22" spans="1:5" ht="15.75" customHeight="1">
      <c r="A22" s="2" t="s">
        <v>105</v>
      </c>
      <c r="B22" s="2">
        <v>70</v>
      </c>
      <c r="C22" s="5">
        <v>40</v>
      </c>
    </row>
    <row r="23" spans="1:5" ht="15.75" customHeight="1">
      <c r="A23" s="2" t="s">
        <v>106</v>
      </c>
      <c r="B23" s="2">
        <v>45</v>
      </c>
      <c r="C23" s="5">
        <v>55</v>
      </c>
    </row>
    <row r="24" spans="1:5" ht="15.75" customHeight="1">
      <c r="A24" s="2" t="s">
        <v>108</v>
      </c>
      <c r="B24" s="2">
        <v>25</v>
      </c>
      <c r="C24" s="5">
        <v>70</v>
      </c>
    </row>
    <row r="25" spans="1:5" ht="15.75" customHeight="1">
      <c r="A25" s="2" t="s">
        <v>109</v>
      </c>
      <c r="B25" s="2">
        <v>35</v>
      </c>
      <c r="C25" s="3"/>
    </row>
    <row r="26" spans="1:5" ht="15.75" customHeight="1">
      <c r="A26" s="2" t="s">
        <v>107</v>
      </c>
      <c r="B26" s="2">
        <v>60</v>
      </c>
      <c r="C26" s="5">
        <v>50</v>
      </c>
    </row>
    <row r="27" spans="1:5" ht="15.75" customHeight="1">
      <c r="A27" s="2" t="s">
        <v>106</v>
      </c>
      <c r="B27" s="2">
        <v>80</v>
      </c>
      <c r="C27" s="5">
        <v>95</v>
      </c>
    </row>
    <row r="28" spans="1:5" ht="15.75" customHeight="1">
      <c r="A28" s="2" t="s">
        <v>105</v>
      </c>
      <c r="B28" s="2">
        <v>40</v>
      </c>
      <c r="C28" s="5">
        <v>75</v>
      </c>
    </row>
    <row r="29" spans="1:5" ht="15.75" customHeight="1">
      <c r="A29" s="2" t="s">
        <v>107</v>
      </c>
      <c r="B29" s="2">
        <v>65</v>
      </c>
      <c r="C29" s="5">
        <v>45</v>
      </c>
    </row>
    <row r="30" spans="1:5" ht="15.75" customHeight="1">
      <c r="A30" s="2" t="s">
        <v>106</v>
      </c>
      <c r="B30" s="2">
        <v>55</v>
      </c>
      <c r="C30" s="5">
        <v>65</v>
      </c>
    </row>
    <row r="31" spans="1:5" ht="15.75" customHeight="1">
      <c r="A31" s="2" t="s">
        <v>108</v>
      </c>
      <c r="B31" s="2">
        <v>70</v>
      </c>
      <c r="C31" s="5">
        <v>30</v>
      </c>
    </row>
    <row r="32" spans="1:5" ht="15.75" customHeight="1">
      <c r="A32" s="2" t="s">
        <v>105</v>
      </c>
      <c r="B32" s="2">
        <v>45</v>
      </c>
      <c r="C32" s="3"/>
    </row>
    <row r="33" spans="1:3" ht="15.75" customHeight="1">
      <c r="A33" s="2" t="s">
        <v>106</v>
      </c>
      <c r="B33" s="2">
        <v>25</v>
      </c>
      <c r="C33" s="5">
        <v>80</v>
      </c>
    </row>
    <row r="34" spans="1:3" ht="15.75" customHeight="1">
      <c r="A34" s="2" t="s">
        <v>107</v>
      </c>
      <c r="B34" s="2">
        <v>35</v>
      </c>
      <c r="C34" s="5">
        <v>60</v>
      </c>
    </row>
    <row r="35" spans="1:3" ht="12.5">
      <c r="A35" s="2" t="s">
        <v>105</v>
      </c>
      <c r="B35" s="2">
        <v>60</v>
      </c>
      <c r="C35" s="5">
        <v>100</v>
      </c>
    </row>
    <row r="36" spans="1:3" ht="12.5">
      <c r="A36" s="2" t="s">
        <v>106</v>
      </c>
      <c r="B36" s="2">
        <v>80</v>
      </c>
      <c r="C36" s="5">
        <v>30</v>
      </c>
    </row>
    <row r="37" spans="1:3" ht="12.5">
      <c r="A37" s="2" t="s">
        <v>108</v>
      </c>
      <c r="B37" s="2">
        <v>40</v>
      </c>
      <c r="C37" s="3"/>
    </row>
    <row r="38" spans="1:3" ht="12.5">
      <c r="A38" s="2" t="s">
        <v>109</v>
      </c>
      <c r="B38" s="2">
        <v>65</v>
      </c>
      <c r="C38" s="5">
        <v>55</v>
      </c>
    </row>
    <row r="39" spans="1:3" ht="12.5">
      <c r="A39" s="2" t="s">
        <v>107</v>
      </c>
      <c r="B39" s="2">
        <v>55</v>
      </c>
      <c r="C39" s="5">
        <v>70</v>
      </c>
    </row>
    <row r="40" spans="1:3" ht="12.5">
      <c r="A40" s="2" t="s">
        <v>106</v>
      </c>
      <c r="B40" s="2">
        <v>70</v>
      </c>
      <c r="C40" s="5">
        <v>85</v>
      </c>
    </row>
    <row r="41" spans="1:3" ht="12.5">
      <c r="A41" s="2" t="s">
        <v>105</v>
      </c>
      <c r="B41" s="2">
        <v>40</v>
      </c>
      <c r="C41" s="5">
        <v>50</v>
      </c>
    </row>
    <row r="42" spans="1:3" ht="12.5">
      <c r="A42" s="2" t="s">
        <v>107</v>
      </c>
      <c r="B42" s="2">
        <v>20</v>
      </c>
      <c r="C42" s="5">
        <v>95</v>
      </c>
    </row>
    <row r="43" spans="1:3" ht="12.5">
      <c r="A43" s="2" t="s">
        <v>106</v>
      </c>
      <c r="B43" s="2">
        <v>90</v>
      </c>
      <c r="C43" s="5">
        <v>75</v>
      </c>
    </row>
    <row r="44" spans="1:3" ht="12.5">
      <c r="A44" s="2" t="s">
        <v>108</v>
      </c>
      <c r="B44" s="2">
        <v>50</v>
      </c>
      <c r="C44" s="5">
        <v>45</v>
      </c>
    </row>
    <row r="45" spans="1:3" ht="12.5">
      <c r="A45" s="2" t="s">
        <v>105</v>
      </c>
      <c r="B45" s="2">
        <v>60</v>
      </c>
      <c r="C45" s="5">
        <v>65</v>
      </c>
    </row>
    <row r="46" spans="1:3" ht="12.5">
      <c r="A46" s="2" t="s">
        <v>106</v>
      </c>
      <c r="B46" s="2">
        <v>45</v>
      </c>
      <c r="C46" s="3"/>
    </row>
    <row r="47" spans="1:3" ht="12.5">
      <c r="A47" s="2" t="s">
        <v>107</v>
      </c>
      <c r="B47" s="2">
        <v>25</v>
      </c>
      <c r="C47" s="3"/>
    </row>
  </sheetData>
  <autoFilter ref="A1:C4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Martello Valerio (Open Fiber)</cp:lastModifiedBy>
  <dcterms:modified xsi:type="dcterms:W3CDTF">2025-12-26T11:05:11Z</dcterms:modified>
</cp:coreProperties>
</file>